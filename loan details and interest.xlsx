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nka\Documents\AssurCoop\"/>
    </mc:Choice>
  </mc:AlternateContent>
  <xr:revisionPtr revIDLastSave="0" documentId="8_{844079EB-CECF-4B1D-A5F0-36AAB496EF1B}" xr6:coauthVersionLast="47" xr6:coauthVersionMax="47" xr10:uidLastSave="{00000000-0000-0000-0000-000000000000}"/>
  <bookViews>
    <workbookView xWindow="-108" yWindow="-108" windowWidth="23256" windowHeight="13896" xr2:uid="{1A0A1934-7C9E-450B-9FFC-4BEE54BE33AE}"/>
  </bookViews>
  <sheets>
    <sheet name="Loan Detail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6" i="1" l="1"/>
  <c r="F27" i="1" s="1"/>
  <c r="H27" i="1" s="1"/>
  <c r="H28" i="1"/>
  <c r="H29" i="1"/>
  <c r="H30" i="1"/>
  <c r="H31" i="1"/>
  <c r="H32" i="1"/>
  <c r="H33" i="1"/>
  <c r="H34" i="1"/>
  <c r="H35" i="1"/>
  <c r="H36" i="1"/>
  <c r="H37" i="1"/>
  <c r="C38" i="1"/>
  <c r="C81" i="1"/>
  <c r="F86" i="1"/>
  <c r="J86" i="1"/>
  <c r="K86" i="1"/>
  <c r="F87" i="1"/>
  <c r="J87" i="1"/>
  <c r="K87" i="1"/>
  <c r="F88" i="1"/>
  <c r="J88" i="1"/>
  <c r="K88" i="1"/>
  <c r="F89" i="1"/>
  <c r="J89" i="1"/>
  <c r="K89" i="1"/>
  <c r="F90" i="1"/>
  <c r="J90" i="1"/>
  <c r="K90" i="1"/>
  <c r="F91" i="1"/>
  <c r="J91" i="1"/>
  <c r="C98" i="1"/>
  <c r="E121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C137" i="1"/>
  <c r="G90" i="1" l="1"/>
  <c r="K91" i="1"/>
  <c r="K94" i="1" s="1"/>
</calcChain>
</file>

<file path=xl/sharedStrings.xml><?xml version="1.0" encoding="utf-8"?>
<sst xmlns="http://schemas.openxmlformats.org/spreadsheetml/2006/main" count="40" uniqueCount="20">
  <si>
    <t>Ending Balance</t>
  </si>
  <si>
    <t>Principal</t>
  </si>
  <si>
    <t>Interest</t>
  </si>
  <si>
    <t>Beginning Balance</t>
  </si>
  <si>
    <t>Loan 7 - Gbanju</t>
  </si>
  <si>
    <t>Balance ($)</t>
  </si>
  <si>
    <t>Interest ($)</t>
  </si>
  <si>
    <t>Principal ($)</t>
  </si>
  <si>
    <t>Payment ($)</t>
  </si>
  <si>
    <t>Date</t>
  </si>
  <si>
    <t>Period</t>
  </si>
  <si>
    <t>Loan 6 - Saheed Salami</t>
  </si>
  <si>
    <t xml:space="preserve"> </t>
  </si>
  <si>
    <t>Embassey Loan 5</t>
  </si>
  <si>
    <t>Year #1 End</t>
  </si>
  <si>
    <t>Loan 4 - Oluwabiyi</t>
  </si>
  <si>
    <t>Loan 3 - Gbanju</t>
  </si>
  <si>
    <t>Saheed</t>
  </si>
  <si>
    <t>Monthly Payment</t>
  </si>
  <si>
    <t>Oluwabiyi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</si>
</sst>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rgb="FFFFFFFF"/>
      <name val="Arial"/>
      <family val="2"/>
    </font>
    <font>
      <sz val="12"/>
      <color rgb="FFFF0000"/>
      <name val="Arial"/>
      <family val="2"/>
    </font>
    <font>
      <b/>
      <sz val="12"/>
      <color rgb="FF000000"/>
      <name val="Arial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8" fontId="0" fillId="0" borderId="0" xfId="0" applyNumberFormat="1"/>
    <xf numFmtId="14" fontId="0" fillId="0" borderId="0" xfId="0" applyNumberFormat="1"/>
    <xf numFmtId="0" fontId="2" fillId="0" borderId="0" xfId="0" applyFont="1"/>
    <xf numFmtId="8" fontId="0" fillId="2" borderId="0" xfId="0" applyNumberFormat="1" applyFill="1"/>
    <xf numFmtId="44" fontId="0" fillId="0" borderId="0" xfId="0" applyNumberFormat="1"/>
    <xf numFmtId="44" fontId="0" fillId="0" borderId="0" xfId="1" applyFont="1"/>
    <xf numFmtId="8" fontId="3" fillId="0" borderId="1" xfId="0" applyNumberFormat="1" applyFont="1" applyBorder="1" applyAlignment="1">
      <alignment horizontal="right" vertical="center"/>
    </xf>
    <xf numFmtId="8" fontId="4" fillId="0" borderId="1" xfId="0" applyNumberFormat="1" applyFont="1" applyBorder="1" applyAlignment="1">
      <alignment horizontal="right" vertical="center"/>
    </xf>
    <xf numFmtId="8" fontId="5" fillId="0" borderId="1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/>
    <xf numFmtId="0" fontId="7" fillId="0" borderId="4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ppData/Roaming/Microsoft/Excel/AllStatements%20(version%201)%20(version%201)%20(version%201)%20(version%201).xlsb" TargetMode="External"/><Relationship Id="rId2" Type="http://schemas.openxmlformats.org/officeDocument/2006/relationships/externalLinkPath" Target="file:///C:\Users\yinka\AppData\Roaming\Microsoft\Excel\AllStatements%20(version%201)%20(version%201)%20(version%201)%20(version%201).xlsb" TargetMode="External"/><Relationship Id="rId1" Type="http://schemas.openxmlformats.org/officeDocument/2006/relationships/externalLinkPath" Target="/Users/yinka/AppData/Roaming/Microsoft/Excel/AllStatements%20(version%201)%20(version%201)%20(version%201)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pril 2026"/>
      <sheetName val="March 2026"/>
      <sheetName val="Sheet1 (3)"/>
      <sheetName val="February 2026"/>
      <sheetName val="November 2025"/>
      <sheetName val="October 2025"/>
      <sheetName val="Contributors Behind"/>
      <sheetName val="Dec 2024"/>
      <sheetName val="Nov 2024"/>
      <sheetName val="Oct 2024"/>
      <sheetName val="Sept 2024 (2)"/>
      <sheetName val="Sept 2024"/>
      <sheetName val="August 2024"/>
      <sheetName val="July 2024 (2)"/>
      <sheetName val="2024 Deposits"/>
      <sheetName val="June 2024 (2)"/>
      <sheetName val="Sheet1 (2)"/>
      <sheetName val="Account Statements 2024 F"/>
      <sheetName val="Saheed"/>
      <sheetName val="Jan 2025"/>
      <sheetName val="Feb 2025"/>
      <sheetName val="March 2025"/>
      <sheetName val="April 2025"/>
      <sheetName val="May 2025"/>
      <sheetName val="June 2025"/>
      <sheetName val="July 2025"/>
      <sheetName val="September 2025"/>
      <sheetName val="August 2025"/>
      <sheetName val="Sheet7"/>
      <sheetName val="Oluwabiyi"/>
      <sheetName val="Unencumbered Guarantors 8.2025"/>
      <sheetName val="Loan Repayments"/>
      <sheetName val="Summary2024"/>
      <sheetName val="Account Statements 2024"/>
      <sheetName val="Status Report 2024"/>
      <sheetName val="Account Statements 2024 (3)"/>
      <sheetName val="Account Statements 2024 (2)"/>
      <sheetName val="Account Statements (4)"/>
      <sheetName val="Account Statements (3)"/>
      <sheetName val="Sheet4"/>
      <sheetName val="Deposits Summary"/>
      <sheetName val="Deposits Chart"/>
      <sheetName val="Account Statements (2)"/>
      <sheetName val="Account Statements"/>
      <sheetName val="CallList"/>
      <sheetName val="Sheet2 (4)"/>
      <sheetName val="Sheet2 (3)"/>
      <sheetName val="Sheet2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5"/>
      <sheetData sheetId="16">
        <row r="339">
          <cell r="B339">
            <v>45887</v>
          </cell>
          <cell r="D339">
            <v>200</v>
          </cell>
        </row>
        <row r="340">
          <cell r="B340">
            <v>45887</v>
          </cell>
          <cell r="D340">
            <v>174</v>
          </cell>
        </row>
        <row r="366">
          <cell r="B366">
            <v>45922</v>
          </cell>
          <cell r="D366">
            <v>200</v>
          </cell>
        </row>
        <row r="421">
          <cell r="B421">
            <v>46024</v>
          </cell>
          <cell r="D421">
            <v>522</v>
          </cell>
        </row>
        <row r="447">
          <cell r="B447">
            <v>46077</v>
          </cell>
          <cell r="D447">
            <v>200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5"/>
      <sheetData sheetId="36"/>
      <sheetData sheetId="37"/>
      <sheetData sheetId="38"/>
      <sheetData sheetId="39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26AC-3870-47D8-BE72-7239983CA9F4}">
  <dimension ref="A1:K137"/>
  <sheetViews>
    <sheetView tabSelected="1" workbookViewId="0">
      <selection activeCell="G126" sqref="G126:H126"/>
    </sheetView>
  </sheetViews>
  <sheetFormatPr defaultRowHeight="14.4" x14ac:dyDescent="0.3"/>
  <cols>
    <col min="1" max="1" width="17.21875" bestFit="1" customWidth="1"/>
    <col min="2" max="2" width="20.33203125" bestFit="1" customWidth="1"/>
    <col min="3" max="4" width="10.109375" bestFit="1" customWidth="1"/>
    <col min="5" max="5" width="13.33203125" bestFit="1" customWidth="1"/>
    <col min="6" max="6" width="13.33203125" customWidth="1"/>
    <col min="7" max="7" width="10.109375" bestFit="1" customWidth="1"/>
    <col min="8" max="8" width="9.5546875" bestFit="1" customWidth="1"/>
    <col min="9" max="9" width="3.44140625" bestFit="1" customWidth="1"/>
    <col min="10" max="10" width="20.77734375" bestFit="1" customWidth="1"/>
    <col min="11" max="11" width="9" bestFit="1" customWidth="1"/>
    <col min="12" max="12" width="10.5546875" bestFit="1" customWidth="1"/>
    <col min="13" max="13" width="17.5546875" bestFit="1" customWidth="1"/>
    <col min="14" max="14" width="9.77734375" bestFit="1" customWidth="1"/>
    <col min="15" max="15" width="19.44140625" bestFit="1" customWidth="1"/>
  </cols>
  <sheetData>
    <row r="1" spans="1:7" ht="15" thickBot="1" x14ac:dyDescent="0.35">
      <c r="A1" t="s">
        <v>19</v>
      </c>
      <c r="B1">
        <v>3700</v>
      </c>
    </row>
    <row r="2" spans="1:7" ht="16.2" thickBot="1" x14ac:dyDescent="0.35">
      <c r="A2" s="13"/>
      <c r="B2" s="11" t="s">
        <v>3</v>
      </c>
      <c r="C2" s="11" t="s">
        <v>2</v>
      </c>
      <c r="D2" s="11" t="s">
        <v>1</v>
      </c>
      <c r="E2" s="11" t="s">
        <v>0</v>
      </c>
      <c r="F2" s="12"/>
      <c r="G2" s="11" t="s">
        <v>18</v>
      </c>
    </row>
    <row r="3" spans="1:7" ht="15.6" thickBot="1" x14ac:dyDescent="0.35">
      <c r="A3" s="10">
        <v>1</v>
      </c>
      <c r="B3" s="7">
        <v>3700</v>
      </c>
      <c r="C3" s="7">
        <v>16.96</v>
      </c>
      <c r="D3" s="9">
        <v>-300.64</v>
      </c>
      <c r="E3" s="7">
        <v>3399.36</v>
      </c>
      <c r="F3" s="8">
        <v>300.64</v>
      </c>
      <c r="G3" s="7">
        <v>317.60000000000002</v>
      </c>
    </row>
    <row r="4" spans="1:7" ht="15.6" thickBot="1" x14ac:dyDescent="0.35">
      <c r="A4" s="10">
        <v>2</v>
      </c>
      <c r="B4" s="7">
        <v>3399.36</v>
      </c>
      <c r="C4" s="7">
        <v>15.58</v>
      </c>
      <c r="D4" s="9">
        <v>-302.02</v>
      </c>
      <c r="E4" s="7">
        <v>3097.35</v>
      </c>
      <c r="F4" s="8">
        <v>302.02</v>
      </c>
      <c r="G4" s="7">
        <v>317.60000000000002</v>
      </c>
    </row>
    <row r="5" spans="1:7" ht="15.6" thickBot="1" x14ac:dyDescent="0.35">
      <c r="A5" s="10">
        <v>3</v>
      </c>
      <c r="B5" s="7">
        <v>3097.35</v>
      </c>
      <c r="C5" s="7">
        <v>14.2</v>
      </c>
      <c r="D5" s="9">
        <v>-303.39999999999998</v>
      </c>
      <c r="E5" s="7">
        <v>2793.95</v>
      </c>
      <c r="F5" s="8">
        <v>303.39999999999998</v>
      </c>
      <c r="G5" s="7">
        <v>317.60000000000002</v>
      </c>
    </row>
    <row r="6" spans="1:7" ht="15.6" thickBot="1" x14ac:dyDescent="0.35">
      <c r="A6" s="10">
        <v>4</v>
      </c>
      <c r="B6" s="7">
        <v>2793.95</v>
      </c>
      <c r="C6" s="7">
        <v>12.81</v>
      </c>
      <c r="D6" s="9">
        <v>-304.79000000000002</v>
      </c>
      <c r="E6" s="7">
        <v>2489.16</v>
      </c>
      <c r="F6" s="8">
        <v>304.79000000000002</v>
      </c>
      <c r="G6" s="7">
        <v>317.60000000000002</v>
      </c>
    </row>
    <row r="7" spans="1:7" ht="15.6" thickBot="1" x14ac:dyDescent="0.35">
      <c r="A7" s="10">
        <v>5</v>
      </c>
      <c r="B7" s="7">
        <v>2489.16</v>
      </c>
      <c r="C7" s="7">
        <v>11.41</v>
      </c>
      <c r="D7" s="9">
        <v>-306.19</v>
      </c>
      <c r="E7" s="7">
        <v>2182.9699999999998</v>
      </c>
      <c r="F7" s="8">
        <v>306.19</v>
      </c>
      <c r="G7" s="7">
        <v>317.60000000000002</v>
      </c>
    </row>
    <row r="8" spans="1:7" ht="15.6" thickBot="1" x14ac:dyDescent="0.35">
      <c r="A8" s="10">
        <v>6</v>
      </c>
      <c r="B8" s="7">
        <v>2182.9699999999998</v>
      </c>
      <c r="C8" s="7">
        <v>10.01</v>
      </c>
      <c r="D8" s="9">
        <v>-307.58999999999997</v>
      </c>
      <c r="E8" s="7">
        <v>1875.38</v>
      </c>
      <c r="F8" s="8">
        <v>307.58999999999997</v>
      </c>
      <c r="G8" s="7">
        <v>317.60000000000002</v>
      </c>
    </row>
    <row r="9" spans="1:7" ht="15.6" thickBot="1" x14ac:dyDescent="0.35">
      <c r="A9" s="10">
        <v>7</v>
      </c>
      <c r="B9" s="7">
        <v>1875.38</v>
      </c>
      <c r="C9" s="7">
        <v>8.6</v>
      </c>
      <c r="D9" s="9">
        <v>-309</v>
      </c>
      <c r="E9" s="7">
        <v>1566.38</v>
      </c>
      <c r="F9" s="8">
        <v>309</v>
      </c>
      <c r="G9" s="7">
        <v>317.60000000000002</v>
      </c>
    </row>
    <row r="10" spans="1:7" ht="15.6" thickBot="1" x14ac:dyDescent="0.35">
      <c r="A10" s="10">
        <v>8</v>
      </c>
      <c r="B10" s="7">
        <v>1566.38</v>
      </c>
      <c r="C10" s="7">
        <v>7.18</v>
      </c>
      <c r="D10" s="9">
        <v>-310.42</v>
      </c>
      <c r="E10" s="7">
        <v>1255.96</v>
      </c>
      <c r="F10" s="8">
        <v>310.42</v>
      </c>
      <c r="G10" s="7">
        <v>317.60000000000002</v>
      </c>
    </row>
    <row r="11" spans="1:7" ht="15.6" thickBot="1" x14ac:dyDescent="0.35">
      <c r="A11" s="10">
        <v>9</v>
      </c>
      <c r="B11" s="7">
        <v>1255.96</v>
      </c>
      <c r="C11" s="7">
        <v>5.76</v>
      </c>
      <c r="D11" s="9">
        <v>-311.83999999999997</v>
      </c>
      <c r="E11" s="7">
        <v>944.12</v>
      </c>
      <c r="F11" s="8">
        <v>311.83999999999997</v>
      </c>
      <c r="G11" s="7">
        <v>317.60000000000002</v>
      </c>
    </row>
    <row r="12" spans="1:7" ht="15.6" thickBot="1" x14ac:dyDescent="0.35">
      <c r="A12" s="10">
        <v>10</v>
      </c>
      <c r="B12" s="7">
        <v>944.12</v>
      </c>
      <c r="C12" s="7">
        <v>4.33</v>
      </c>
      <c r="D12" s="9">
        <v>-313.27</v>
      </c>
      <c r="E12" s="7">
        <v>630.85</v>
      </c>
      <c r="F12" s="8">
        <v>313.27</v>
      </c>
      <c r="G12" s="7">
        <v>317.60000000000002</v>
      </c>
    </row>
    <row r="13" spans="1:7" ht="15.6" thickBot="1" x14ac:dyDescent="0.35">
      <c r="A13" s="10">
        <v>11</v>
      </c>
      <c r="B13" s="7">
        <v>630.85</v>
      </c>
      <c r="C13" s="7">
        <v>2.89</v>
      </c>
      <c r="D13" s="9">
        <v>-314.7</v>
      </c>
      <c r="E13" s="7">
        <v>316.14999999999998</v>
      </c>
      <c r="F13" s="8">
        <v>314.7</v>
      </c>
      <c r="G13" s="7">
        <v>317.58999999999997</v>
      </c>
    </row>
    <row r="14" spans="1:7" ht="15.6" thickBot="1" x14ac:dyDescent="0.35">
      <c r="A14" s="10">
        <v>12</v>
      </c>
      <c r="B14" s="7">
        <v>316.14999999999998</v>
      </c>
      <c r="C14" s="7">
        <v>1.45</v>
      </c>
      <c r="D14" s="9">
        <v>-316.14999999999998</v>
      </c>
      <c r="E14" s="7">
        <v>0</v>
      </c>
      <c r="F14" s="8">
        <v>316.14999999999998</v>
      </c>
      <c r="G14" s="7">
        <v>317.60000000000002</v>
      </c>
    </row>
    <row r="23" spans="1:10" x14ac:dyDescent="0.3">
      <c r="A23" t="s">
        <v>17</v>
      </c>
      <c r="B23">
        <v>6000</v>
      </c>
    </row>
    <row r="25" spans="1:10" x14ac:dyDescent="0.3">
      <c r="B25" t="s">
        <v>3</v>
      </c>
      <c r="C25" t="s">
        <v>2</v>
      </c>
      <c r="D25" t="s">
        <v>1</v>
      </c>
      <c r="E25" t="s">
        <v>0</v>
      </c>
    </row>
    <row r="26" spans="1:10" x14ac:dyDescent="0.3">
      <c r="A26">
        <v>1</v>
      </c>
      <c r="B26" s="1">
        <v>6000</v>
      </c>
      <c r="C26" s="4">
        <v>40</v>
      </c>
      <c r="D26" s="4">
        <v>481.93</v>
      </c>
      <c r="E26" s="1">
        <v>5518.07</v>
      </c>
      <c r="F26" s="1">
        <v>6000</v>
      </c>
      <c r="G26">
        <v>600</v>
      </c>
      <c r="H26" s="1">
        <f>$B$26-G26</f>
        <v>5400</v>
      </c>
      <c r="J26" s="1"/>
    </row>
    <row r="27" spans="1:10" x14ac:dyDescent="0.3">
      <c r="A27">
        <v>2</v>
      </c>
      <c r="B27" s="1">
        <v>5518.07</v>
      </c>
      <c r="C27" s="4">
        <v>36.79</v>
      </c>
      <c r="D27" s="4">
        <v>485.14</v>
      </c>
      <c r="E27" s="1">
        <v>5032.93</v>
      </c>
      <c r="F27" s="1">
        <f>H26</f>
        <v>5400</v>
      </c>
      <c r="G27">
        <v>560</v>
      </c>
      <c r="H27" s="1">
        <f>F27-G27</f>
        <v>4840</v>
      </c>
    </row>
    <row r="28" spans="1:10" x14ac:dyDescent="0.3">
      <c r="A28">
        <v>3</v>
      </c>
      <c r="B28" s="1">
        <v>5032.93</v>
      </c>
      <c r="C28" s="4">
        <v>33.549999999999997</v>
      </c>
      <c r="D28" s="4">
        <v>488.38</v>
      </c>
      <c r="E28" s="1">
        <v>4544.55</v>
      </c>
      <c r="F28" s="1"/>
      <c r="G28">
        <v>600</v>
      </c>
      <c r="H28" s="1">
        <f>B28-G28</f>
        <v>4432.93</v>
      </c>
    </row>
    <row r="29" spans="1:10" x14ac:dyDescent="0.3">
      <c r="A29">
        <v>4</v>
      </c>
      <c r="B29" s="1">
        <v>4544.55</v>
      </c>
      <c r="C29" s="4">
        <v>30.3</v>
      </c>
      <c r="D29" s="4">
        <v>491.63</v>
      </c>
      <c r="E29" s="1">
        <v>4052.91</v>
      </c>
      <c r="F29" s="1"/>
      <c r="G29">
        <v>600</v>
      </c>
      <c r="H29" s="1">
        <f>B29-G29</f>
        <v>3944.55</v>
      </c>
    </row>
    <row r="30" spans="1:10" x14ac:dyDescent="0.3">
      <c r="A30">
        <v>5</v>
      </c>
      <c r="B30" s="1">
        <v>4052.91</v>
      </c>
      <c r="C30" s="4">
        <v>27.02</v>
      </c>
      <c r="D30" s="4">
        <v>494.91</v>
      </c>
      <c r="E30" s="1">
        <v>3558</v>
      </c>
      <c r="F30" s="1"/>
      <c r="G30">
        <v>600</v>
      </c>
      <c r="H30" s="1">
        <f>B30-G30</f>
        <v>3452.91</v>
      </c>
    </row>
    <row r="31" spans="1:10" x14ac:dyDescent="0.3">
      <c r="A31">
        <v>6</v>
      </c>
      <c r="B31" s="1">
        <v>3558</v>
      </c>
      <c r="C31" s="4">
        <v>23.72</v>
      </c>
      <c r="D31" s="4">
        <v>498.21</v>
      </c>
      <c r="E31" s="1">
        <v>3059.79</v>
      </c>
      <c r="F31" s="1"/>
      <c r="G31">
        <v>600</v>
      </c>
      <c r="H31" s="1">
        <f>B31-G31</f>
        <v>2958</v>
      </c>
    </row>
    <row r="32" spans="1:10" x14ac:dyDescent="0.3">
      <c r="A32">
        <v>7</v>
      </c>
      <c r="B32" s="1">
        <v>3059.79</v>
      </c>
      <c r="C32" s="4">
        <v>20.399999999999999</v>
      </c>
      <c r="D32" s="4">
        <v>501.53</v>
      </c>
      <c r="E32" s="1">
        <v>2558.2600000000002</v>
      </c>
      <c r="F32" s="1"/>
      <c r="G32">
        <v>600</v>
      </c>
      <c r="H32" s="1">
        <f>B32-G32</f>
        <v>2459.79</v>
      </c>
    </row>
    <row r="33" spans="1:8" x14ac:dyDescent="0.3">
      <c r="A33">
        <v>8</v>
      </c>
      <c r="B33" s="1">
        <v>2558.2600000000002</v>
      </c>
      <c r="C33" s="4">
        <v>17.059999999999999</v>
      </c>
      <c r="D33" s="4">
        <v>504.88</v>
      </c>
      <c r="E33" s="1">
        <v>2053.39</v>
      </c>
      <c r="F33" s="1"/>
      <c r="G33">
        <v>600</v>
      </c>
      <c r="H33" s="1">
        <f>B33-G33</f>
        <v>1958.2600000000002</v>
      </c>
    </row>
    <row r="34" spans="1:8" x14ac:dyDescent="0.3">
      <c r="A34">
        <v>9</v>
      </c>
      <c r="B34" s="1">
        <v>2053.39</v>
      </c>
      <c r="C34" s="4">
        <v>13.69</v>
      </c>
      <c r="D34" s="4">
        <v>508.24</v>
      </c>
      <c r="E34" s="1">
        <v>1545.14</v>
      </c>
      <c r="F34" s="1"/>
      <c r="G34">
        <v>600</v>
      </c>
      <c r="H34" s="1">
        <f>B34-G34</f>
        <v>1453.3899999999999</v>
      </c>
    </row>
    <row r="35" spans="1:8" x14ac:dyDescent="0.3">
      <c r="A35">
        <v>10</v>
      </c>
      <c r="B35" s="1">
        <v>1545.14</v>
      </c>
      <c r="C35" s="4">
        <v>10.3</v>
      </c>
      <c r="D35" s="4">
        <v>511.63</v>
      </c>
      <c r="E35" s="1">
        <v>1033.51</v>
      </c>
      <c r="F35" s="1"/>
      <c r="H35" s="1">
        <f>B35-G35</f>
        <v>1545.14</v>
      </c>
    </row>
    <row r="36" spans="1:8" x14ac:dyDescent="0.3">
      <c r="A36">
        <v>11</v>
      </c>
      <c r="B36" s="1">
        <v>1033.51</v>
      </c>
      <c r="C36" s="1">
        <v>6.89</v>
      </c>
      <c r="D36" s="1">
        <v>515.04</v>
      </c>
      <c r="E36" s="1">
        <v>518.47</v>
      </c>
      <c r="F36" s="1"/>
      <c r="H36" s="1">
        <f>B36-G36</f>
        <v>1033.51</v>
      </c>
    </row>
    <row r="37" spans="1:8" x14ac:dyDescent="0.3">
      <c r="A37">
        <v>12</v>
      </c>
      <c r="B37" s="1">
        <v>518.47</v>
      </c>
      <c r="C37" s="1">
        <v>3.46</v>
      </c>
      <c r="D37" s="1">
        <v>518.47</v>
      </c>
      <c r="E37" s="1">
        <v>0</v>
      </c>
      <c r="F37" s="1"/>
      <c r="H37" s="1">
        <f>B37-G37</f>
        <v>518.47</v>
      </c>
    </row>
    <row r="38" spans="1:8" x14ac:dyDescent="0.3">
      <c r="C38" s="1">
        <f>SUM(C26:C37)</f>
        <v>263.18</v>
      </c>
    </row>
    <row r="40" spans="1:8" x14ac:dyDescent="0.3">
      <c r="C40" s="1"/>
    </row>
    <row r="41" spans="1:8" x14ac:dyDescent="0.3">
      <c r="C41" s="6"/>
      <c r="F41" s="1"/>
      <c r="G41" s="5"/>
    </row>
    <row r="42" spans="1:8" x14ac:dyDescent="0.3">
      <c r="A42" t="s">
        <v>16</v>
      </c>
      <c r="B42">
        <v>5000</v>
      </c>
      <c r="C42" s="1"/>
      <c r="H42" s="5"/>
    </row>
    <row r="44" spans="1:8" x14ac:dyDescent="0.3">
      <c r="B44" t="s">
        <v>3</v>
      </c>
      <c r="C44" t="s">
        <v>2</v>
      </c>
      <c r="D44" t="s">
        <v>1</v>
      </c>
      <c r="E44" t="s">
        <v>0</v>
      </c>
    </row>
    <row r="45" spans="1:8" x14ac:dyDescent="0.3">
      <c r="A45">
        <v>1</v>
      </c>
      <c r="B45" s="1">
        <v>5000</v>
      </c>
      <c r="C45" s="1">
        <v>33.33</v>
      </c>
      <c r="D45" s="1">
        <v>-401.61</v>
      </c>
      <c r="E45" s="1">
        <v>4598.3900000000003</v>
      </c>
      <c r="F45" s="1"/>
      <c r="G45" s="1"/>
    </row>
    <row r="46" spans="1:8" x14ac:dyDescent="0.3">
      <c r="A46">
        <v>2</v>
      </c>
      <c r="B46" s="1">
        <v>4598.3900000000003</v>
      </c>
      <c r="C46" s="1">
        <v>30.66</v>
      </c>
      <c r="D46" s="1">
        <v>-404.29</v>
      </c>
      <c r="E46" s="1">
        <v>4194.1000000000004</v>
      </c>
      <c r="F46" s="1"/>
    </row>
    <row r="47" spans="1:8" x14ac:dyDescent="0.3">
      <c r="A47">
        <v>3</v>
      </c>
      <c r="B47" s="1">
        <v>4194.1000000000004</v>
      </c>
      <c r="C47" s="1">
        <v>27.96</v>
      </c>
      <c r="D47" s="1">
        <v>-406.98</v>
      </c>
      <c r="E47" s="1">
        <v>3787.12</v>
      </c>
      <c r="F47" s="1"/>
    </row>
    <row r="48" spans="1:8" x14ac:dyDescent="0.3">
      <c r="A48">
        <v>4</v>
      </c>
      <c r="B48" s="1">
        <v>3787.12</v>
      </c>
      <c r="C48" s="1">
        <v>25.25</v>
      </c>
      <c r="D48" s="1">
        <v>-409.69</v>
      </c>
      <c r="E48" s="1">
        <v>3377.43</v>
      </c>
      <c r="F48" s="1"/>
    </row>
    <row r="49" spans="1:6" x14ac:dyDescent="0.3">
      <c r="A49">
        <v>5</v>
      </c>
      <c r="B49" s="1">
        <v>3377.43</v>
      </c>
      <c r="C49" s="1">
        <v>22.52</v>
      </c>
      <c r="D49" s="1">
        <v>-412.43</v>
      </c>
      <c r="E49" s="1">
        <v>2965</v>
      </c>
      <c r="F49" s="1"/>
    </row>
    <row r="50" spans="1:6" x14ac:dyDescent="0.3">
      <c r="A50">
        <v>6</v>
      </c>
      <c r="B50" s="1">
        <v>2965</v>
      </c>
      <c r="C50" s="1">
        <v>19.77</v>
      </c>
      <c r="D50" s="1">
        <v>-415.18</v>
      </c>
      <c r="E50" s="1">
        <v>2549.83</v>
      </c>
      <c r="F50" s="1"/>
    </row>
    <row r="51" spans="1:6" x14ac:dyDescent="0.3">
      <c r="A51">
        <v>7</v>
      </c>
      <c r="B51" s="1">
        <v>2549.83</v>
      </c>
      <c r="C51" s="1">
        <v>17</v>
      </c>
      <c r="D51" s="1">
        <v>-417.94</v>
      </c>
      <c r="E51" s="1">
        <v>2131.88</v>
      </c>
      <c r="F51" s="1"/>
    </row>
    <row r="52" spans="1:6" x14ac:dyDescent="0.3">
      <c r="A52">
        <v>8</v>
      </c>
      <c r="B52" s="1">
        <v>2131.88</v>
      </c>
      <c r="C52" s="1">
        <v>14.21</v>
      </c>
      <c r="D52" s="1">
        <v>-420.73</v>
      </c>
      <c r="E52" s="1">
        <v>1711.15</v>
      </c>
      <c r="F52" s="1"/>
    </row>
    <row r="53" spans="1:6" x14ac:dyDescent="0.3">
      <c r="A53">
        <v>9</v>
      </c>
      <c r="B53" s="1">
        <v>1711.15</v>
      </c>
      <c r="C53" s="1">
        <v>11.41</v>
      </c>
      <c r="D53" s="1">
        <v>-423.53</v>
      </c>
      <c r="E53" s="1">
        <v>1287.6199999999999</v>
      </c>
      <c r="F53" s="1"/>
    </row>
    <row r="54" spans="1:6" x14ac:dyDescent="0.3">
      <c r="A54">
        <v>10</v>
      </c>
      <c r="B54" s="1">
        <v>1287.6199999999999</v>
      </c>
      <c r="C54" s="1">
        <v>8.58</v>
      </c>
      <c r="D54" s="1">
        <v>-426.36</v>
      </c>
      <c r="E54" s="1">
        <v>861.26</v>
      </c>
      <c r="F54" s="1"/>
    </row>
    <row r="55" spans="1:6" x14ac:dyDescent="0.3">
      <c r="A55">
        <v>11</v>
      </c>
      <c r="B55" s="1">
        <v>861.26</v>
      </c>
      <c r="C55" s="1">
        <v>5.74</v>
      </c>
      <c r="D55" s="1">
        <v>-429.2</v>
      </c>
      <c r="E55" s="1">
        <v>432.06</v>
      </c>
      <c r="F55" s="1"/>
    </row>
    <row r="56" spans="1:6" x14ac:dyDescent="0.3">
      <c r="A56">
        <v>12</v>
      </c>
      <c r="B56" s="1">
        <v>432.06</v>
      </c>
      <c r="C56" s="1">
        <v>2.88</v>
      </c>
      <c r="D56" s="1">
        <v>-432.06</v>
      </c>
      <c r="E56" s="1">
        <v>0</v>
      </c>
      <c r="F56" s="1"/>
    </row>
    <row r="57" spans="1:6" x14ac:dyDescent="0.3">
      <c r="C57" s="1"/>
    </row>
    <row r="59" spans="1:6" x14ac:dyDescent="0.3">
      <c r="A59" t="s">
        <v>15</v>
      </c>
      <c r="B59" s="1">
        <v>7500</v>
      </c>
    </row>
    <row r="61" spans="1:6" x14ac:dyDescent="0.3">
      <c r="B61" t="s">
        <v>3</v>
      </c>
      <c r="C61" t="s">
        <v>2</v>
      </c>
      <c r="D61" t="s">
        <v>1</v>
      </c>
      <c r="E61" t="s">
        <v>0</v>
      </c>
    </row>
    <row r="62" spans="1:6" x14ac:dyDescent="0.3">
      <c r="A62">
        <v>1</v>
      </c>
      <c r="B62" s="1">
        <v>7500</v>
      </c>
      <c r="C62" s="1">
        <v>50</v>
      </c>
      <c r="D62" s="1">
        <v>393.55</v>
      </c>
      <c r="E62" s="1">
        <v>7106.45</v>
      </c>
    </row>
    <row r="63" spans="1:6" x14ac:dyDescent="0.3">
      <c r="A63">
        <v>2</v>
      </c>
      <c r="B63" s="1">
        <v>7106.45</v>
      </c>
      <c r="C63" s="1">
        <v>47.38</v>
      </c>
      <c r="D63" s="1">
        <v>396.18</v>
      </c>
      <c r="E63" s="1">
        <v>6710.27</v>
      </c>
    </row>
    <row r="64" spans="1:6" x14ac:dyDescent="0.3">
      <c r="A64">
        <v>3</v>
      </c>
      <c r="B64" s="1">
        <v>6710.27</v>
      </c>
      <c r="C64" s="1">
        <v>44.74</v>
      </c>
      <c r="D64" s="1">
        <v>398.82</v>
      </c>
      <c r="E64" s="1">
        <v>6311.45</v>
      </c>
    </row>
    <row r="65" spans="1:5" x14ac:dyDescent="0.3">
      <c r="A65">
        <v>4</v>
      </c>
      <c r="B65" s="1">
        <v>6311.45</v>
      </c>
      <c r="C65" s="1">
        <v>42.08</v>
      </c>
      <c r="D65" s="1">
        <v>401.48</v>
      </c>
      <c r="E65" s="1">
        <v>5909.98</v>
      </c>
    </row>
    <row r="66" spans="1:5" x14ac:dyDescent="0.3">
      <c r="A66">
        <v>5</v>
      </c>
      <c r="B66" s="1">
        <v>5909.98</v>
      </c>
      <c r="C66" s="1">
        <v>39.4</v>
      </c>
      <c r="D66" s="1">
        <v>404.15</v>
      </c>
      <c r="E66" s="1">
        <v>5505.83</v>
      </c>
    </row>
    <row r="67" spans="1:5" x14ac:dyDescent="0.3">
      <c r="A67">
        <v>6</v>
      </c>
      <c r="B67" s="1">
        <v>5505.83</v>
      </c>
      <c r="C67" s="1">
        <v>36.71</v>
      </c>
      <c r="D67" s="1">
        <v>406.85</v>
      </c>
      <c r="E67" s="1">
        <v>5098.9799999999996</v>
      </c>
    </row>
    <row r="68" spans="1:5" x14ac:dyDescent="0.3">
      <c r="A68">
        <v>7</v>
      </c>
      <c r="B68" s="1">
        <v>5098.9799999999996</v>
      </c>
      <c r="C68" s="1">
        <v>33.99</v>
      </c>
      <c r="D68" s="1">
        <v>409.56</v>
      </c>
      <c r="E68" s="1">
        <v>4689.42</v>
      </c>
    </row>
    <row r="69" spans="1:5" x14ac:dyDescent="0.3">
      <c r="A69">
        <v>8</v>
      </c>
      <c r="B69" s="1">
        <v>4689.42</v>
      </c>
      <c r="C69" s="1">
        <v>31.26</v>
      </c>
      <c r="D69" s="1">
        <v>412.29</v>
      </c>
      <c r="E69" s="1">
        <v>4277.13</v>
      </c>
    </row>
    <row r="70" spans="1:5" x14ac:dyDescent="0.3">
      <c r="A70">
        <v>9</v>
      </c>
      <c r="B70" s="1">
        <v>4277.13</v>
      </c>
      <c r="C70" s="1">
        <v>28.51</v>
      </c>
      <c r="D70" s="1">
        <v>415.04</v>
      </c>
      <c r="E70" s="1">
        <v>3862.09</v>
      </c>
    </row>
    <row r="71" spans="1:5" x14ac:dyDescent="0.3">
      <c r="A71">
        <v>10</v>
      </c>
      <c r="B71" s="1">
        <v>3862.09</v>
      </c>
      <c r="C71" s="1">
        <v>25.75</v>
      </c>
      <c r="D71" s="1">
        <v>417.8</v>
      </c>
      <c r="E71" s="1">
        <v>3444.29</v>
      </c>
    </row>
    <row r="72" spans="1:5" x14ac:dyDescent="0.3">
      <c r="A72">
        <v>11</v>
      </c>
      <c r="B72" s="1">
        <v>3444.29</v>
      </c>
      <c r="C72" s="1">
        <v>22.96</v>
      </c>
      <c r="D72" s="1">
        <v>420.59</v>
      </c>
      <c r="E72" s="1">
        <v>3023.7</v>
      </c>
    </row>
    <row r="73" spans="1:5" x14ac:dyDescent="0.3">
      <c r="A73">
        <v>12</v>
      </c>
      <c r="B73" s="1">
        <v>3023.7</v>
      </c>
      <c r="C73" s="1">
        <v>20.16</v>
      </c>
      <c r="D73" s="1">
        <v>423.39</v>
      </c>
      <c r="E73" s="1">
        <v>2600.3000000000002</v>
      </c>
    </row>
    <row r="74" spans="1:5" x14ac:dyDescent="0.3">
      <c r="A74" t="s">
        <v>14</v>
      </c>
    </row>
    <row r="75" spans="1:5" x14ac:dyDescent="0.3">
      <c r="A75">
        <v>13</v>
      </c>
      <c r="B75" s="1">
        <v>2600.3000000000002</v>
      </c>
      <c r="C75" s="1">
        <v>17.34</v>
      </c>
      <c r="D75" s="1">
        <v>426.22</v>
      </c>
      <c r="E75" s="1">
        <v>2174.09</v>
      </c>
    </row>
    <row r="76" spans="1:5" x14ac:dyDescent="0.3">
      <c r="A76">
        <v>14</v>
      </c>
      <c r="B76" s="1">
        <v>2174.09</v>
      </c>
      <c r="C76" s="1">
        <v>14.49</v>
      </c>
      <c r="D76" s="1">
        <v>429.06</v>
      </c>
      <c r="E76" s="1">
        <v>1745.03</v>
      </c>
    </row>
    <row r="77" spans="1:5" x14ac:dyDescent="0.3">
      <c r="A77">
        <v>15</v>
      </c>
      <c r="B77" s="1">
        <v>1745.03</v>
      </c>
      <c r="C77" s="1">
        <v>11.63</v>
      </c>
      <c r="D77" s="1">
        <v>431.92</v>
      </c>
      <c r="E77" s="1">
        <v>1313.11</v>
      </c>
    </row>
    <row r="78" spans="1:5" x14ac:dyDescent="0.3">
      <c r="A78">
        <v>16</v>
      </c>
      <c r="B78" s="1">
        <v>1313.11</v>
      </c>
      <c r="C78" s="1">
        <v>8.75</v>
      </c>
      <c r="D78" s="1">
        <v>434.8</v>
      </c>
      <c r="E78" s="1">
        <v>878.31</v>
      </c>
    </row>
    <row r="79" spans="1:5" x14ac:dyDescent="0.3">
      <c r="A79">
        <v>17</v>
      </c>
      <c r="B79" s="1">
        <v>878.31</v>
      </c>
      <c r="C79" s="1">
        <v>5.86</v>
      </c>
      <c r="D79" s="1">
        <v>437.7</v>
      </c>
      <c r="E79" s="1">
        <v>440.61</v>
      </c>
    </row>
    <row r="80" spans="1:5" x14ac:dyDescent="0.3">
      <c r="A80">
        <v>18</v>
      </c>
      <c r="B80" s="1">
        <v>440.61</v>
      </c>
      <c r="C80" s="1">
        <v>2.94</v>
      </c>
      <c r="D80" s="1">
        <v>440.61</v>
      </c>
      <c r="E80" s="1">
        <v>0</v>
      </c>
    </row>
    <row r="81" spans="1:11" x14ac:dyDescent="0.3">
      <c r="C81" s="1">
        <f>SUM(C63:C80)</f>
        <v>433.95</v>
      </c>
    </row>
    <row r="84" spans="1:11" x14ac:dyDescent="0.3">
      <c r="A84" t="s">
        <v>13</v>
      </c>
      <c r="B84">
        <v>2000</v>
      </c>
    </row>
    <row r="85" spans="1:11" x14ac:dyDescent="0.3">
      <c r="A85" t="s">
        <v>12</v>
      </c>
      <c r="B85" t="s">
        <v>3</v>
      </c>
      <c r="C85" t="s">
        <v>2</v>
      </c>
      <c r="D85" t="s">
        <v>1</v>
      </c>
      <c r="E85" t="s">
        <v>0</v>
      </c>
    </row>
    <row r="86" spans="1:11" x14ac:dyDescent="0.3">
      <c r="A86">
        <v>1</v>
      </c>
      <c r="B86" s="1">
        <v>2000</v>
      </c>
      <c r="C86" s="4">
        <v>13.33</v>
      </c>
      <c r="D86" s="1">
        <v>160.63999999999999</v>
      </c>
      <c r="E86" s="1">
        <v>1839.36</v>
      </c>
      <c r="F86" s="1">
        <f>D86+C86</f>
        <v>173.97</v>
      </c>
      <c r="J86" s="2">
        <f>'[1]Sheet1 (2)'!B339</f>
        <v>45887</v>
      </c>
      <c r="K86">
        <f>'[1]Sheet1 (2)'!D339</f>
        <v>200</v>
      </c>
    </row>
    <row r="87" spans="1:11" x14ac:dyDescent="0.3">
      <c r="A87">
        <v>2</v>
      </c>
      <c r="B87" s="1">
        <v>1839.36</v>
      </c>
      <c r="C87" s="4">
        <v>12.26</v>
      </c>
      <c r="D87" s="1">
        <v>161.71</v>
      </c>
      <c r="E87" s="1">
        <v>1677.64</v>
      </c>
      <c r="F87" s="1">
        <f>D87+C87</f>
        <v>173.97</v>
      </c>
      <c r="J87" s="2">
        <f>'[1]Sheet1 (2)'!B340</f>
        <v>45887</v>
      </c>
      <c r="K87">
        <f>'[1]Sheet1 (2)'!D340</f>
        <v>174</v>
      </c>
    </row>
    <row r="88" spans="1:11" x14ac:dyDescent="0.3">
      <c r="A88">
        <v>3</v>
      </c>
      <c r="B88" s="1">
        <v>1677.64</v>
      </c>
      <c r="C88" s="4">
        <v>11.18</v>
      </c>
      <c r="D88" s="1">
        <v>162.79</v>
      </c>
      <c r="E88" s="1">
        <v>1514.85</v>
      </c>
      <c r="F88" s="1">
        <f>D88+C88</f>
        <v>173.97</v>
      </c>
      <c r="J88" s="2">
        <f>'[1]Sheet1 (2)'!B366</f>
        <v>45922</v>
      </c>
      <c r="K88">
        <f>'[1]Sheet1 (2)'!D366</f>
        <v>200</v>
      </c>
    </row>
    <row r="89" spans="1:11" x14ac:dyDescent="0.3">
      <c r="A89">
        <v>4</v>
      </c>
      <c r="B89" s="1">
        <v>1514.85</v>
      </c>
      <c r="C89" s="4">
        <v>10.1</v>
      </c>
      <c r="D89" s="1">
        <v>163.88</v>
      </c>
      <c r="E89" s="1">
        <v>1350.97</v>
      </c>
      <c r="F89" s="1">
        <f>D89+C89</f>
        <v>173.98</v>
      </c>
      <c r="J89" s="2">
        <f>'[1]Sheet1 (2)'!B421</f>
        <v>46024</v>
      </c>
      <c r="K89">
        <f>'[1]Sheet1 (2)'!D421</f>
        <v>522</v>
      </c>
    </row>
    <row r="90" spans="1:11" x14ac:dyDescent="0.3">
      <c r="A90">
        <v>5</v>
      </c>
      <c r="B90" s="1">
        <v>1350.97</v>
      </c>
      <c r="C90" s="4">
        <v>9.01</v>
      </c>
      <c r="D90" s="1">
        <v>164.97</v>
      </c>
      <c r="E90" s="1">
        <v>1186</v>
      </c>
      <c r="F90" s="1">
        <f>D90+C90</f>
        <v>173.98</v>
      </c>
      <c r="G90" s="1">
        <f>F90+F89+F88</f>
        <v>521.92999999999995</v>
      </c>
      <c r="J90" s="2">
        <f>'[1]Sheet1 (2)'!B447</f>
        <v>46077</v>
      </c>
      <c r="K90">
        <f>'[1]Sheet1 (2)'!D447</f>
        <v>200</v>
      </c>
    </row>
    <row r="91" spans="1:11" x14ac:dyDescent="0.3">
      <c r="A91">
        <v>6</v>
      </c>
      <c r="B91" s="1">
        <v>1186</v>
      </c>
      <c r="C91" s="4">
        <v>7.91</v>
      </c>
      <c r="D91" s="1">
        <v>166.07</v>
      </c>
      <c r="E91" s="1">
        <v>1019.93</v>
      </c>
      <c r="F91" s="1">
        <f>D91+C91</f>
        <v>173.98</v>
      </c>
      <c r="J91" s="1">
        <f>SUM(C86:C91)</f>
        <v>63.789999999999992</v>
      </c>
      <c r="K91" s="3">
        <f>SUM(K87:K90)</f>
        <v>1096</v>
      </c>
    </row>
    <row r="92" spans="1:11" x14ac:dyDescent="0.3">
      <c r="A92">
        <v>7</v>
      </c>
      <c r="B92" s="1">
        <v>1019.93</v>
      </c>
      <c r="C92" s="1">
        <v>6.8</v>
      </c>
      <c r="D92" s="1">
        <v>167.18</v>
      </c>
      <c r="E92" s="1">
        <v>852.75</v>
      </c>
    </row>
    <row r="93" spans="1:11" x14ac:dyDescent="0.3">
      <c r="A93">
        <v>8</v>
      </c>
      <c r="B93" s="1">
        <v>852.75</v>
      </c>
      <c r="C93" s="1">
        <v>5.69</v>
      </c>
      <c r="D93" s="1">
        <v>168.29</v>
      </c>
      <c r="E93" s="1">
        <v>684.46</v>
      </c>
      <c r="K93">
        <v>2087</v>
      </c>
    </row>
    <row r="94" spans="1:11" x14ac:dyDescent="0.3">
      <c r="A94">
        <v>9</v>
      </c>
      <c r="B94" s="1">
        <v>684.46</v>
      </c>
      <c r="C94" s="1">
        <v>4.5599999999999996</v>
      </c>
      <c r="D94" s="1">
        <v>169.41</v>
      </c>
      <c r="E94" s="1">
        <v>515.04999999999995</v>
      </c>
      <c r="K94">
        <f>K93-K91</f>
        <v>991</v>
      </c>
    </row>
    <row r="95" spans="1:11" x14ac:dyDescent="0.3">
      <c r="A95">
        <v>10</v>
      </c>
      <c r="B95" s="1">
        <v>515.04999999999995</v>
      </c>
      <c r="C95" s="1">
        <v>3.43</v>
      </c>
      <c r="D95" s="1">
        <v>170.54</v>
      </c>
      <c r="E95" s="1">
        <v>344.5</v>
      </c>
    </row>
    <row r="96" spans="1:11" x14ac:dyDescent="0.3">
      <c r="A96">
        <v>11</v>
      </c>
      <c r="B96" s="1">
        <v>344.5</v>
      </c>
      <c r="C96" s="1">
        <v>2.2999999999999998</v>
      </c>
      <c r="D96" s="1">
        <v>171.68</v>
      </c>
      <c r="E96" s="1">
        <v>172.82</v>
      </c>
    </row>
    <row r="97" spans="1:6" x14ac:dyDescent="0.3">
      <c r="A97">
        <v>12</v>
      </c>
      <c r="B97" s="1">
        <v>172.82</v>
      </c>
      <c r="C97" s="1">
        <v>1.1499999999999999</v>
      </c>
      <c r="D97" s="1">
        <v>172.82</v>
      </c>
      <c r="E97" s="1">
        <v>0</v>
      </c>
    </row>
    <row r="98" spans="1:6" x14ac:dyDescent="0.3">
      <c r="C98" s="1">
        <f>SUM(C86:C97)</f>
        <v>87.72</v>
      </c>
    </row>
    <row r="101" spans="1:6" x14ac:dyDescent="0.3">
      <c r="A101" t="s">
        <v>11</v>
      </c>
      <c r="B101">
        <v>8400</v>
      </c>
    </row>
    <row r="102" spans="1:6" x14ac:dyDescent="0.3">
      <c r="A102" t="s">
        <v>10</v>
      </c>
      <c r="B102" t="s">
        <v>9</v>
      </c>
      <c r="C102" t="s">
        <v>8</v>
      </c>
      <c r="D102" t="s">
        <v>7</v>
      </c>
      <c r="E102" t="s">
        <v>6</v>
      </c>
      <c r="F102" t="s">
        <v>5</v>
      </c>
    </row>
    <row r="103" spans="1:6" x14ac:dyDescent="0.3">
      <c r="A103">
        <v>1</v>
      </c>
      <c r="B103" s="2">
        <v>46093</v>
      </c>
      <c r="C103">
        <v>522.66999999999996</v>
      </c>
      <c r="D103">
        <v>416.56</v>
      </c>
      <c r="E103">
        <v>106.11</v>
      </c>
      <c r="F103">
        <v>7983.44</v>
      </c>
    </row>
    <row r="104" spans="1:6" x14ac:dyDescent="0.3">
      <c r="A104">
        <v>2</v>
      </c>
      <c r="B104" s="2">
        <v>46124</v>
      </c>
      <c r="C104">
        <v>522.66999999999996</v>
      </c>
      <c r="D104">
        <v>422.46</v>
      </c>
      <c r="E104">
        <v>100.21</v>
      </c>
      <c r="F104">
        <v>7560.98</v>
      </c>
    </row>
    <row r="105" spans="1:6" x14ac:dyDescent="0.3">
      <c r="A105">
        <v>3</v>
      </c>
      <c r="B105" s="2">
        <v>46154</v>
      </c>
      <c r="C105">
        <v>522.66999999999996</v>
      </c>
      <c r="D105">
        <v>428.35</v>
      </c>
      <c r="E105">
        <v>94.32</v>
      </c>
      <c r="F105">
        <v>7132.63</v>
      </c>
    </row>
    <row r="106" spans="1:6" x14ac:dyDescent="0.3">
      <c r="A106">
        <v>4</v>
      </c>
      <c r="B106" s="2">
        <v>46185</v>
      </c>
      <c r="C106">
        <v>522.66999999999996</v>
      </c>
      <c r="D106">
        <v>434.25</v>
      </c>
      <c r="E106">
        <v>88.42</v>
      </c>
      <c r="F106">
        <v>6698.38</v>
      </c>
    </row>
    <row r="107" spans="1:6" x14ac:dyDescent="0.3">
      <c r="A107">
        <v>5</v>
      </c>
      <c r="B107" s="2">
        <v>46215</v>
      </c>
      <c r="C107">
        <v>522.66999999999996</v>
      </c>
      <c r="D107">
        <v>440.14</v>
      </c>
      <c r="E107">
        <v>82.53</v>
      </c>
      <c r="F107">
        <v>6258.24</v>
      </c>
    </row>
    <row r="108" spans="1:6" x14ac:dyDescent="0.3">
      <c r="A108">
        <v>6</v>
      </c>
      <c r="B108" s="2">
        <v>46246</v>
      </c>
      <c r="C108">
        <v>522.66999999999996</v>
      </c>
      <c r="D108">
        <v>446.04</v>
      </c>
      <c r="E108">
        <v>76.63</v>
      </c>
      <c r="F108">
        <v>5812.2</v>
      </c>
    </row>
    <row r="109" spans="1:6" x14ac:dyDescent="0.3">
      <c r="A109">
        <v>7</v>
      </c>
      <c r="B109" s="2">
        <v>46277</v>
      </c>
      <c r="C109">
        <v>522.66999999999996</v>
      </c>
      <c r="D109">
        <v>451.93</v>
      </c>
      <c r="E109">
        <v>70.739999999999995</v>
      </c>
      <c r="F109">
        <v>5360.27</v>
      </c>
    </row>
    <row r="110" spans="1:6" x14ac:dyDescent="0.3">
      <c r="A110">
        <v>8</v>
      </c>
      <c r="B110" s="2">
        <v>46307</v>
      </c>
      <c r="C110">
        <v>522.66999999999996</v>
      </c>
      <c r="D110">
        <v>457.83</v>
      </c>
      <c r="E110">
        <v>64.84</v>
      </c>
      <c r="F110">
        <v>4902.4399999999996</v>
      </c>
    </row>
    <row r="111" spans="1:6" x14ac:dyDescent="0.3">
      <c r="A111">
        <v>9</v>
      </c>
      <c r="B111" s="2">
        <v>46338</v>
      </c>
      <c r="C111">
        <v>522.66999999999996</v>
      </c>
      <c r="D111">
        <v>463.72</v>
      </c>
      <c r="E111">
        <v>58.95</v>
      </c>
      <c r="F111">
        <v>4438.72</v>
      </c>
    </row>
    <row r="112" spans="1:6" x14ac:dyDescent="0.3">
      <c r="A112">
        <v>10</v>
      </c>
      <c r="B112" s="2">
        <v>46368</v>
      </c>
      <c r="C112">
        <v>522.66999999999996</v>
      </c>
      <c r="D112">
        <v>469.62</v>
      </c>
      <c r="E112">
        <v>53.05</v>
      </c>
      <c r="F112">
        <v>3969.1</v>
      </c>
    </row>
    <row r="113" spans="1:8" x14ac:dyDescent="0.3">
      <c r="A113">
        <v>11</v>
      </c>
      <c r="B113" s="2">
        <v>46399</v>
      </c>
      <c r="C113">
        <v>522.66999999999996</v>
      </c>
      <c r="D113">
        <v>475.51</v>
      </c>
      <c r="E113">
        <v>47.16</v>
      </c>
      <c r="F113">
        <v>3493.59</v>
      </c>
    </row>
    <row r="114" spans="1:8" x14ac:dyDescent="0.3">
      <c r="A114">
        <v>12</v>
      </c>
      <c r="B114" s="2">
        <v>46430</v>
      </c>
      <c r="C114">
        <v>522.66999999999996</v>
      </c>
      <c r="D114">
        <v>481.41</v>
      </c>
      <c r="E114">
        <v>41.26</v>
      </c>
      <c r="F114">
        <v>3012.18</v>
      </c>
    </row>
    <row r="115" spans="1:8" x14ac:dyDescent="0.3">
      <c r="A115">
        <v>13</v>
      </c>
      <c r="B115" s="2">
        <v>46458</v>
      </c>
      <c r="C115">
        <v>522.66999999999996</v>
      </c>
      <c r="D115">
        <v>487.3</v>
      </c>
      <c r="E115">
        <v>35.369999999999997</v>
      </c>
      <c r="F115">
        <v>2524.88</v>
      </c>
    </row>
    <row r="116" spans="1:8" x14ac:dyDescent="0.3">
      <c r="A116">
        <v>14</v>
      </c>
      <c r="B116" s="2">
        <v>46489</v>
      </c>
      <c r="C116">
        <v>522.66999999999996</v>
      </c>
      <c r="D116">
        <v>493.2</v>
      </c>
      <c r="E116">
        <v>29.47</v>
      </c>
      <c r="F116">
        <v>2031.68</v>
      </c>
    </row>
    <row r="117" spans="1:8" x14ac:dyDescent="0.3">
      <c r="A117">
        <v>15</v>
      </c>
      <c r="B117" s="2">
        <v>46519</v>
      </c>
      <c r="C117">
        <v>522.66999999999996</v>
      </c>
      <c r="D117">
        <v>499.09</v>
      </c>
      <c r="E117">
        <v>23.58</v>
      </c>
      <c r="F117">
        <v>1532.59</v>
      </c>
    </row>
    <row r="118" spans="1:8" x14ac:dyDescent="0.3">
      <c r="A118">
        <v>16</v>
      </c>
      <c r="B118" s="2">
        <v>46550</v>
      </c>
      <c r="C118">
        <v>522.66999999999996</v>
      </c>
      <c r="D118">
        <v>504.99</v>
      </c>
      <c r="E118">
        <v>17.68</v>
      </c>
      <c r="F118">
        <v>1027.5999999999999</v>
      </c>
    </row>
    <row r="119" spans="1:8" x14ac:dyDescent="0.3">
      <c r="A119">
        <v>17</v>
      </c>
      <c r="B119" s="2">
        <v>46580</v>
      </c>
      <c r="C119">
        <v>522.66999999999996</v>
      </c>
      <c r="D119">
        <v>510.88</v>
      </c>
      <c r="E119">
        <v>11.79</v>
      </c>
      <c r="F119">
        <v>516.72</v>
      </c>
    </row>
    <row r="120" spans="1:8" x14ac:dyDescent="0.3">
      <c r="A120">
        <v>18</v>
      </c>
      <c r="B120" s="2">
        <v>46611</v>
      </c>
      <c r="C120">
        <v>522.61</v>
      </c>
      <c r="D120">
        <v>516.72</v>
      </c>
      <c r="E120">
        <v>5.89</v>
      </c>
      <c r="F120">
        <v>0</v>
      </c>
    </row>
    <row r="121" spans="1:8" x14ac:dyDescent="0.3">
      <c r="E121">
        <f>SUM(E103:E120)</f>
        <v>1008</v>
      </c>
    </row>
    <row r="123" spans="1:8" x14ac:dyDescent="0.3">
      <c r="A123" t="s">
        <v>4</v>
      </c>
      <c r="B123" s="1">
        <v>5000</v>
      </c>
    </row>
    <row r="124" spans="1:8" x14ac:dyDescent="0.3">
      <c r="B124" t="s">
        <v>3</v>
      </c>
      <c r="C124" t="s">
        <v>2</v>
      </c>
      <c r="D124" t="s">
        <v>1</v>
      </c>
      <c r="E124" t="s">
        <v>0</v>
      </c>
    </row>
    <row r="125" spans="1:8" x14ac:dyDescent="0.3">
      <c r="A125">
        <v>1</v>
      </c>
      <c r="B125" s="1">
        <v>5000</v>
      </c>
      <c r="C125" s="1">
        <v>33.33</v>
      </c>
      <c r="D125" s="1">
        <v>-401.61</v>
      </c>
      <c r="E125" s="1">
        <v>4598.3900000000003</v>
      </c>
      <c r="F125" s="1">
        <f>-D125+C125</f>
        <v>434.94</v>
      </c>
    </row>
    <row r="126" spans="1:8" x14ac:dyDescent="0.3">
      <c r="A126">
        <v>2</v>
      </c>
      <c r="B126" s="1">
        <v>4598.3900000000003</v>
      </c>
      <c r="C126" s="1">
        <v>30.66</v>
      </c>
      <c r="D126" s="1">
        <v>-404.29</v>
      </c>
      <c r="E126" s="1">
        <v>4194.1000000000004</v>
      </c>
      <c r="F126" s="1">
        <f>-D126+C126</f>
        <v>434.95000000000005</v>
      </c>
      <c r="H126" s="1"/>
    </row>
    <row r="127" spans="1:8" x14ac:dyDescent="0.3">
      <c r="A127">
        <v>3</v>
      </c>
      <c r="B127" s="1">
        <v>4194.1000000000004</v>
      </c>
      <c r="C127" s="1">
        <v>27.96</v>
      </c>
      <c r="D127" s="1">
        <v>-406.98</v>
      </c>
      <c r="E127" s="1">
        <v>3787.12</v>
      </c>
      <c r="F127" s="1">
        <f>-D127+C127</f>
        <v>434.94</v>
      </c>
    </row>
    <row r="128" spans="1:8" x14ac:dyDescent="0.3">
      <c r="A128">
        <v>4</v>
      </c>
      <c r="B128" s="1">
        <v>3787.12</v>
      </c>
      <c r="C128" s="1">
        <v>25.25</v>
      </c>
      <c r="D128" s="1">
        <v>-409.69</v>
      </c>
      <c r="E128" s="1">
        <v>3377.43</v>
      </c>
      <c r="F128" s="1">
        <f>-D128+C128</f>
        <v>434.94</v>
      </c>
    </row>
    <row r="129" spans="1:6" x14ac:dyDescent="0.3">
      <c r="A129">
        <v>5</v>
      </c>
      <c r="B129" s="1">
        <v>3377.43</v>
      </c>
      <c r="C129" s="1">
        <v>22.52</v>
      </c>
      <c r="D129" s="1">
        <v>-412.43</v>
      </c>
      <c r="E129" s="1">
        <v>2965</v>
      </c>
      <c r="F129" s="1">
        <f>-D129+C129</f>
        <v>434.95</v>
      </c>
    </row>
    <row r="130" spans="1:6" x14ac:dyDescent="0.3">
      <c r="A130">
        <v>6</v>
      </c>
      <c r="B130" s="1">
        <v>2965</v>
      </c>
      <c r="C130" s="1">
        <v>19.77</v>
      </c>
      <c r="D130" s="1">
        <v>-415.18</v>
      </c>
      <c r="E130" s="1">
        <v>2549.83</v>
      </c>
      <c r="F130" s="1">
        <f>-D130+C130</f>
        <v>434.95</v>
      </c>
    </row>
    <row r="131" spans="1:6" x14ac:dyDescent="0.3">
      <c r="A131">
        <v>7</v>
      </c>
      <c r="B131" s="1">
        <v>2549.83</v>
      </c>
      <c r="C131" s="1">
        <v>17</v>
      </c>
      <c r="D131" s="1">
        <v>-417.94</v>
      </c>
      <c r="E131" s="1">
        <v>2131.88</v>
      </c>
      <c r="F131" s="1">
        <f>-D131+C131</f>
        <v>434.94</v>
      </c>
    </row>
    <row r="132" spans="1:6" x14ac:dyDescent="0.3">
      <c r="A132">
        <v>8</v>
      </c>
      <c r="B132" s="1">
        <v>2131.88</v>
      </c>
      <c r="C132" s="1">
        <v>14.21</v>
      </c>
      <c r="D132" s="1">
        <v>-420.73</v>
      </c>
      <c r="E132" s="1">
        <v>1711.15</v>
      </c>
      <c r="F132" s="1">
        <f>-D132+C132</f>
        <v>434.94</v>
      </c>
    </row>
    <row r="133" spans="1:6" x14ac:dyDescent="0.3">
      <c r="A133">
        <v>9</v>
      </c>
      <c r="B133" s="1">
        <v>1711.15</v>
      </c>
      <c r="C133" s="1">
        <v>11.41</v>
      </c>
      <c r="D133" s="1">
        <v>-423.53</v>
      </c>
      <c r="E133" s="1">
        <v>1287.6199999999999</v>
      </c>
      <c r="F133" s="1">
        <f>-D133+C133</f>
        <v>434.94</v>
      </c>
    </row>
    <row r="134" spans="1:6" x14ac:dyDescent="0.3">
      <c r="A134">
        <v>10</v>
      </c>
      <c r="B134" s="1">
        <v>1287.6199999999999</v>
      </c>
      <c r="C134" s="1">
        <v>8.58</v>
      </c>
      <c r="D134" s="1">
        <v>-426.36</v>
      </c>
      <c r="E134" s="1">
        <v>861.26</v>
      </c>
      <c r="F134" s="1">
        <f>-D134+C134</f>
        <v>434.94</v>
      </c>
    </row>
    <row r="135" spans="1:6" x14ac:dyDescent="0.3">
      <c r="A135">
        <v>11</v>
      </c>
      <c r="B135" s="1">
        <v>861.26</v>
      </c>
      <c r="C135" s="1">
        <v>5.74</v>
      </c>
      <c r="D135" s="1">
        <v>-429.2</v>
      </c>
      <c r="E135" s="1">
        <v>432.06</v>
      </c>
      <c r="F135" s="1">
        <f>-D135+C135</f>
        <v>434.94</v>
      </c>
    </row>
    <row r="136" spans="1:6" x14ac:dyDescent="0.3">
      <c r="A136">
        <v>12</v>
      </c>
      <c r="B136" s="1">
        <v>432.06</v>
      </c>
      <c r="C136" s="1">
        <v>2.88</v>
      </c>
      <c r="D136" s="1">
        <v>-432.06</v>
      </c>
      <c r="E136" s="1">
        <v>0</v>
      </c>
      <c r="F136" s="1">
        <f>-D136+C136</f>
        <v>434.94</v>
      </c>
    </row>
    <row r="137" spans="1:6" x14ac:dyDescent="0.3">
      <c r="C137" s="1">
        <f>SUM(C125:C136)</f>
        <v>219.31000000000003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Yinka Daramola</dc:creator>
  <cp:lastModifiedBy>Yinka Daramola</cp:lastModifiedBy>
  <dcterms:created xsi:type="dcterms:W3CDTF">2026-06-13T00:20:58Z</dcterms:created>
  <dcterms:modified xsi:type="dcterms:W3CDTF">2026-06-13T00:28:07Z</dcterms:modified>
</cp:coreProperties>
</file>