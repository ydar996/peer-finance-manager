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ka\Documents\AssurCoop\"/>
    </mc:Choice>
  </mc:AlternateContent>
  <xr:revisionPtr revIDLastSave="0" documentId="13_ncr:1_{7F0EFEEE-D8DC-477D-A4C2-231E45CF7F3A}" xr6:coauthVersionLast="47" xr6:coauthVersionMax="47" xr10:uidLastSave="{00000000-0000-0000-0000-000000000000}"/>
  <bookViews>
    <workbookView xWindow="-108" yWindow="-108" windowWidth="23256" windowHeight="13896" xr2:uid="{82EC28AC-1002-4BA6-9478-BC1ED31542E7}"/>
  </bookViews>
  <sheets>
    <sheet name="April 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31" i="1" l="1"/>
  <c r="E31" i="1"/>
  <c r="C31" i="1"/>
  <c r="BD29" i="1"/>
  <c r="BE29" i="1" s="1"/>
  <c r="BF26" i="1"/>
  <c r="AT26" i="1"/>
  <c r="AS26" i="1"/>
  <c r="AQ26" i="1"/>
  <c r="AP26" i="1"/>
  <c r="AO26" i="1"/>
  <c r="AN26" i="1"/>
  <c r="AM26" i="1"/>
  <c r="AL26" i="1"/>
  <c r="B26" i="1"/>
  <c r="D26" i="1" s="1"/>
  <c r="BF25" i="1"/>
  <c r="AL25" i="1"/>
  <c r="BD25" i="1" s="1"/>
  <c r="BE25" i="1" s="1"/>
  <c r="B25" i="1"/>
  <c r="D25" i="1" s="1"/>
  <c r="BF24" i="1"/>
  <c r="AT24" i="1"/>
  <c r="AS24" i="1"/>
  <c r="AQ24" i="1"/>
  <c r="AP24" i="1"/>
  <c r="AO24" i="1"/>
  <c r="AN24" i="1"/>
  <c r="AL24" i="1"/>
  <c r="AK24" i="1"/>
  <c r="B24" i="1"/>
  <c r="D24" i="1" s="1"/>
  <c r="BF23" i="1"/>
  <c r="AS23" i="1"/>
  <c r="AN23" i="1"/>
  <c r="AM23" i="1"/>
  <c r="AL23" i="1"/>
  <c r="AK23" i="1"/>
  <c r="AJ23" i="1"/>
  <c r="AI23" i="1"/>
  <c r="AH23" i="1"/>
  <c r="AG23" i="1"/>
  <c r="AF23" i="1"/>
  <c r="B23" i="1"/>
  <c r="D23" i="1" s="1"/>
  <c r="BF22" i="1"/>
  <c r="AH22" i="1"/>
  <c r="AF22" i="1"/>
  <c r="BD22" i="1" s="1"/>
  <c r="B22" i="1"/>
  <c r="D22" i="1" s="1"/>
  <c r="BF21" i="1"/>
  <c r="AG21" i="1"/>
  <c r="AF21" i="1"/>
  <c r="AE21" i="1"/>
  <c r="AD21" i="1"/>
  <c r="B21" i="1"/>
  <c r="D21" i="1" s="1"/>
  <c r="BD20" i="1"/>
  <c r="BE20" i="1" s="1"/>
  <c r="AN20" i="1"/>
  <c r="AK20" i="1"/>
  <c r="AJ20" i="1"/>
  <c r="AE20" i="1"/>
  <c r="AC20" i="1"/>
  <c r="BF20" i="1" s="1"/>
  <c r="B20" i="1"/>
  <c r="D20" i="1" s="1"/>
  <c r="AS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BF19" i="1" s="1"/>
  <c r="B19" i="1"/>
  <c r="D19" i="1" s="1"/>
  <c r="AT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B18" i="1"/>
  <c r="D18" i="1" s="1"/>
  <c r="V17" i="1"/>
  <c r="P17" i="1"/>
  <c r="B17" i="1"/>
  <c r="D17" i="1" s="1"/>
  <c r="P16" i="1"/>
  <c r="O16" i="1"/>
  <c r="N16" i="1"/>
  <c r="M16" i="1"/>
  <c r="L16" i="1"/>
  <c r="B16" i="1"/>
  <c r="D16" i="1" s="1"/>
  <c r="P15" i="1"/>
  <c r="O15" i="1"/>
  <c r="N15" i="1"/>
  <c r="M15" i="1"/>
  <c r="L15" i="1"/>
  <c r="K15" i="1"/>
  <c r="D15" i="1"/>
  <c r="AT14" i="1"/>
  <c r="AQ14" i="1"/>
  <c r="AN14" i="1"/>
  <c r="P14" i="1"/>
  <c r="O14" i="1"/>
  <c r="N14" i="1"/>
  <c r="M14" i="1"/>
  <c r="J14" i="1"/>
  <c r="I14" i="1"/>
  <c r="H14" i="1"/>
  <c r="G14" i="1"/>
  <c r="B14" i="1"/>
  <c r="D14" i="1" s="1"/>
  <c r="AT13" i="1"/>
  <c r="AQ13" i="1"/>
  <c r="AP13" i="1"/>
  <c r="AN13" i="1"/>
  <c r="AM13" i="1"/>
  <c r="AK13" i="1"/>
  <c r="AJ13" i="1"/>
  <c r="AI13" i="1"/>
  <c r="AG13" i="1"/>
  <c r="AF13" i="1"/>
  <c r="AE13" i="1"/>
  <c r="AD13" i="1"/>
  <c r="AC13" i="1"/>
  <c r="AB13" i="1"/>
  <c r="AA13" i="1"/>
  <c r="Y13" i="1"/>
  <c r="X13" i="1"/>
  <c r="V13" i="1"/>
  <c r="U13" i="1"/>
  <c r="S13" i="1"/>
  <c r="R13" i="1"/>
  <c r="Q13" i="1"/>
  <c r="P13" i="1"/>
  <c r="O13" i="1"/>
  <c r="N13" i="1"/>
  <c r="M13" i="1"/>
  <c r="L13" i="1"/>
  <c r="K13" i="1"/>
  <c r="J13" i="1"/>
  <c r="BD13" i="1" s="1"/>
  <c r="BE13" i="1" s="1"/>
  <c r="I13" i="1"/>
  <c r="H13" i="1"/>
  <c r="G13" i="1"/>
  <c r="B13" i="1"/>
  <c r="D13" i="1" s="1"/>
  <c r="P12" i="1"/>
  <c r="O12" i="1"/>
  <c r="N12" i="1"/>
  <c r="M12" i="1"/>
  <c r="J12" i="1"/>
  <c r="I12" i="1"/>
  <c r="H12" i="1"/>
  <c r="G12" i="1"/>
  <c r="D12" i="1"/>
  <c r="AT11" i="1"/>
  <c r="AS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B11" i="1"/>
  <c r="D11" i="1" s="1"/>
  <c r="P10" i="1"/>
  <c r="O10" i="1"/>
  <c r="N10" i="1"/>
  <c r="M10" i="1"/>
  <c r="J10" i="1"/>
  <c r="I10" i="1"/>
  <c r="H10" i="1"/>
  <c r="BF10" i="1" s="1"/>
  <c r="G10" i="1"/>
  <c r="F10" i="1"/>
  <c r="D10" i="1"/>
  <c r="AT9" i="1"/>
  <c r="AS9" i="1"/>
  <c r="AQ9" i="1"/>
  <c r="AP9" i="1"/>
  <c r="AO9" i="1"/>
  <c r="AN9" i="1"/>
  <c r="AM9" i="1"/>
  <c r="AL9" i="1"/>
  <c r="AK9" i="1"/>
  <c r="AJ9" i="1"/>
  <c r="AI9" i="1"/>
  <c r="AH9" i="1"/>
  <c r="AG9" i="1"/>
  <c r="AF9" i="1"/>
  <c r="Z9" i="1"/>
  <c r="W9" i="1"/>
  <c r="V9" i="1"/>
  <c r="S9" i="1"/>
  <c r="P9" i="1"/>
  <c r="O9" i="1"/>
  <c r="N9" i="1"/>
  <c r="M9" i="1"/>
  <c r="J9" i="1"/>
  <c r="I9" i="1"/>
  <c r="H9" i="1"/>
  <c r="G9" i="1"/>
  <c r="B9" i="1"/>
  <c r="D9" i="1" s="1"/>
  <c r="AT8" i="1"/>
  <c r="AS8" i="1"/>
  <c r="AQ8" i="1"/>
  <c r="AM8" i="1"/>
  <c r="AL8" i="1"/>
  <c r="AJ8" i="1"/>
  <c r="AI8" i="1"/>
  <c r="AG8" i="1"/>
  <c r="AF8" i="1"/>
  <c r="AE8" i="1"/>
  <c r="AD8" i="1"/>
  <c r="AC8" i="1"/>
  <c r="U8" i="1"/>
  <c r="S8" i="1"/>
  <c r="Q8" i="1"/>
  <c r="P8" i="1"/>
  <c r="O8" i="1"/>
  <c r="N8" i="1"/>
  <c r="M8" i="1"/>
  <c r="K8" i="1"/>
  <c r="J8" i="1"/>
  <c r="I8" i="1"/>
  <c r="H8" i="1"/>
  <c r="G8" i="1"/>
  <c r="D8" i="1"/>
  <c r="B8" i="1"/>
  <c r="AQ7" i="1"/>
  <c r="AM7" i="1"/>
  <c r="AK7" i="1"/>
  <c r="AJ7" i="1"/>
  <c r="AI7" i="1"/>
  <c r="AH7" i="1"/>
  <c r="AG7" i="1"/>
  <c r="AF7" i="1"/>
  <c r="AE7" i="1"/>
  <c r="AD7" i="1"/>
  <c r="AC7" i="1"/>
  <c r="AB7" i="1"/>
  <c r="Y7" i="1"/>
  <c r="W7" i="1"/>
  <c r="V7" i="1"/>
  <c r="T7" i="1"/>
  <c r="T31" i="1" s="1"/>
  <c r="S7" i="1"/>
  <c r="R7" i="1"/>
  <c r="Q7" i="1"/>
  <c r="P7" i="1"/>
  <c r="O7" i="1"/>
  <c r="N7" i="1"/>
  <c r="M7" i="1"/>
  <c r="J7" i="1"/>
  <c r="I7" i="1"/>
  <c r="H7" i="1"/>
  <c r="G7" i="1"/>
  <c r="B7" i="1"/>
  <c r="D7" i="1" s="1"/>
  <c r="AT6" i="1"/>
  <c r="AS6" i="1"/>
  <c r="AQ6" i="1"/>
  <c r="AP6" i="1"/>
  <c r="AO6" i="1"/>
  <c r="AN6" i="1"/>
  <c r="AM6" i="1"/>
  <c r="AL6" i="1"/>
  <c r="AK6" i="1"/>
  <c r="AJ6" i="1"/>
  <c r="AF6" i="1"/>
  <c r="AE6" i="1"/>
  <c r="AD6" i="1"/>
  <c r="AC6" i="1"/>
  <c r="AA6" i="1"/>
  <c r="Z6" i="1"/>
  <c r="Y6" i="1"/>
  <c r="X6" i="1"/>
  <c r="W6" i="1"/>
  <c r="V6" i="1"/>
  <c r="R6" i="1"/>
  <c r="Q6" i="1"/>
  <c r="P6" i="1"/>
  <c r="O6" i="1"/>
  <c r="N6" i="1"/>
  <c r="M6" i="1"/>
  <c r="L6" i="1"/>
  <c r="K6" i="1"/>
  <c r="J6" i="1"/>
  <c r="I6" i="1"/>
  <c r="H6" i="1"/>
  <c r="G6" i="1"/>
  <c r="B6" i="1"/>
  <c r="D6" i="1" s="1"/>
  <c r="AT5" i="1"/>
  <c r="AS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B5" i="1"/>
  <c r="D5" i="1" s="1"/>
  <c r="AT4" i="1"/>
  <c r="AS4" i="1"/>
  <c r="AP4" i="1"/>
  <c r="AO4" i="1"/>
  <c r="AN4" i="1"/>
  <c r="AM4" i="1"/>
  <c r="AL4" i="1"/>
  <c r="AK4" i="1"/>
  <c r="AJ4" i="1"/>
  <c r="AI4" i="1"/>
  <c r="AH4" i="1"/>
  <c r="AH31" i="1" s="1"/>
  <c r="AG4" i="1"/>
  <c r="AF4" i="1"/>
  <c r="AE4" i="1"/>
  <c r="AD4" i="1"/>
  <c r="AC4" i="1"/>
  <c r="AB4" i="1"/>
  <c r="AA4" i="1"/>
  <c r="Z4" i="1"/>
  <c r="Y4" i="1"/>
  <c r="X4" i="1"/>
  <c r="V4" i="1"/>
  <c r="U4" i="1"/>
  <c r="U31" i="1" s="1"/>
  <c r="S4" i="1"/>
  <c r="Q4" i="1"/>
  <c r="P4" i="1"/>
  <c r="O4" i="1"/>
  <c r="N4" i="1"/>
  <c r="M4" i="1"/>
  <c r="L4" i="1"/>
  <c r="K4" i="1"/>
  <c r="J4" i="1"/>
  <c r="I4" i="1"/>
  <c r="H4" i="1"/>
  <c r="G4" i="1"/>
  <c r="BF4" i="1" s="1"/>
  <c r="B4" i="1"/>
  <c r="D4" i="1" s="1"/>
  <c r="P3" i="1"/>
  <c r="O3" i="1"/>
  <c r="N3" i="1"/>
  <c r="M3" i="1"/>
  <c r="L3" i="1"/>
  <c r="J3" i="1"/>
  <c r="I3" i="1"/>
  <c r="I31" i="1" s="1"/>
  <c r="H3" i="1"/>
  <c r="H31" i="1" s="1"/>
  <c r="G3" i="1"/>
  <c r="BF3" i="1" s="1"/>
  <c r="D3" i="1"/>
  <c r="BF5" i="1" l="1"/>
  <c r="AQ31" i="1"/>
  <c r="AO31" i="1"/>
  <c r="BD26" i="1"/>
  <c r="BE26" i="1" s="1"/>
  <c r="AD31" i="1"/>
  <c r="AE31" i="1"/>
  <c r="AS31" i="1"/>
  <c r="J31" i="1"/>
  <c r="BF17" i="1"/>
  <c r="Q31" i="1"/>
  <c r="AF31" i="1"/>
  <c r="AT31" i="1"/>
  <c r="K31" i="1"/>
  <c r="BF8" i="1"/>
  <c r="AC31" i="1"/>
  <c r="BD4" i="1"/>
  <c r="BE4" i="1" s="1"/>
  <c r="AP31" i="1"/>
  <c r="BF14" i="1"/>
  <c r="BE22" i="1"/>
  <c r="S31" i="1"/>
  <c r="AG31" i="1"/>
  <c r="G31" i="1"/>
  <c r="AI31" i="1"/>
  <c r="BF6" i="1"/>
  <c r="BF16" i="1"/>
  <c r="BD24" i="1"/>
  <c r="BE24" i="1" s="1"/>
  <c r="BD5" i="1"/>
  <c r="BE5" i="1" s="1"/>
  <c r="R31" i="1"/>
  <c r="BF12" i="1"/>
  <c r="BD21" i="1"/>
  <c r="BE21" i="1" s="1"/>
  <c r="BD6" i="1"/>
  <c r="BE6" i="1" s="1"/>
  <c r="V31" i="1"/>
  <c r="W31" i="1"/>
  <c r="BD19" i="1"/>
  <c r="BE19" i="1" s="1"/>
  <c r="BD10" i="1"/>
  <c r="BE10" i="1" s="1"/>
  <c r="BF18" i="1"/>
  <c r="BD18" i="1"/>
  <c r="BE18" i="1" s="1"/>
  <c r="D31" i="1"/>
  <c r="BF11" i="1"/>
  <c r="L31" i="1"/>
  <c r="X31" i="1"/>
  <c r="AJ31" i="1"/>
  <c r="BD12" i="1"/>
  <c r="BE12" i="1" s="1"/>
  <c r="M31" i="1"/>
  <c r="Y31" i="1"/>
  <c r="AK31" i="1"/>
  <c r="BD11" i="1"/>
  <c r="BE11" i="1" s="1"/>
  <c r="BD14" i="1"/>
  <c r="BE14" i="1" s="1"/>
  <c r="BD17" i="1"/>
  <c r="BE17" i="1" s="1"/>
  <c r="BF7" i="1"/>
  <c r="BD7" i="1"/>
  <c r="BE7" i="1" s="1"/>
  <c r="BD23" i="1"/>
  <c r="BE23" i="1" s="1"/>
  <c r="N31" i="1"/>
  <c r="Z31" i="1"/>
  <c r="AL31" i="1"/>
  <c r="BF15" i="1"/>
  <c r="BD15" i="1"/>
  <c r="BE15" i="1" s="1"/>
  <c r="BD8" i="1"/>
  <c r="BE8" i="1" s="1"/>
  <c r="P31" i="1"/>
  <c r="AB31" i="1"/>
  <c r="AN31" i="1"/>
  <c r="F31" i="1"/>
  <c r="B31" i="1"/>
  <c r="BF9" i="1"/>
  <c r="O31" i="1"/>
  <c r="AA31" i="1"/>
  <c r="AM31" i="1"/>
  <c r="BD16" i="1"/>
  <c r="BE16" i="1" s="1"/>
  <c r="BD3" i="1"/>
  <c r="BF13" i="1"/>
  <c r="BD9" i="1"/>
  <c r="BE9" i="1" s="1"/>
  <c r="BF31" i="1" l="1"/>
  <c r="BD31" i="1"/>
  <c r="BE3" i="1"/>
  <c r="BE31" i="1" s="1"/>
</calcChain>
</file>

<file path=xl/sharedStrings.xml><?xml version="1.0" encoding="utf-8"?>
<sst xmlns="http://schemas.openxmlformats.org/spreadsheetml/2006/main" count="82" uniqueCount="46">
  <si>
    <t>Year</t>
  </si>
  <si>
    <t>Member Name</t>
  </si>
  <si>
    <t>Total Deposits</t>
  </si>
  <si>
    <t>Registration Income</t>
  </si>
  <si>
    <t>Account Balance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</si>
  <si>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</si>
  <si>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</si>
  <si>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</si>
  <si>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</si>
  <si>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</si>
  <si>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</si>
  <si>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</si>
  <si>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</si>
  <si>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</si>
  <si>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</si>
  <si>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</si>
  <si>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</si>
  <si>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</si>
  <si>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* Distribution - February</t>
  </si>
  <si>
    <t>Total Deposits Check</t>
  </si>
  <si>
    <t>2024 Balance</t>
  </si>
  <si>
    <t>Abraham Udom</t>
  </si>
  <si>
    <t>Adedayo Tolani</t>
  </si>
  <si>
    <t>Clement Aribisala</t>
  </si>
  <si>
    <t>Gbanju Aruwayo-Obe</t>
  </si>
  <si>
    <t>Kelvin Amede</t>
  </si>
  <si>
    <t>Lolu Adanri</t>
  </si>
  <si>
    <t>Mutiu Saliu</t>
  </si>
  <si>
    <t>Olugbenga Shofela</t>
  </si>
  <si>
    <t>Oluwabiyi Omotuyole</t>
  </si>
  <si>
    <t>Taiwo Embassey</t>
  </si>
  <si>
    <t>Yinka Daramola</t>
  </si>
  <si>
    <t>Yomi Salami</t>
  </si>
  <si>
    <t>Iyioluwa Olaoye</t>
  </si>
  <si>
    <t>Oladimeji Eboda</t>
  </si>
  <si>
    <t>Akili Tcha Bindi</t>
  </si>
  <si>
    <t>Ejiro Awhotu</t>
  </si>
  <si>
    <t>Noghayin Idele</t>
  </si>
  <si>
    <t>Idris Anaisah</t>
  </si>
  <si>
    <t>Sonia Udom</t>
  </si>
  <si>
    <t>Oluwatosin Ogunbowale</t>
  </si>
  <si>
    <t>Titilope Saliu</t>
  </si>
  <si>
    <t>Oluwatosin Omotuyole</t>
  </si>
  <si>
    <t>Kehinde Agboola</t>
  </si>
  <si>
    <t>Olawale George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</si>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</sst>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2" borderId="0" xfId="1" applyFont="1" applyFill="1" applyAlignment="1">
      <alignment horizontal="center"/>
    </xf>
    <xf numFmtId="43" fontId="0" fillId="2" borderId="0" xfId="1" applyFont="1" applyFill="1"/>
    <xf numFmtId="44" fontId="0" fillId="0" borderId="0" xfId="1" applyNumberFormat="1" applyFont="1"/>
    <xf numFmtId="43" fontId="0" fillId="0" borderId="0" xfId="0" applyNumberFormat="1"/>
    <xf numFmtId="0" fontId="0" fillId="3" borderId="0" xfId="0" applyFill="1"/>
    <xf numFmtId="43" fontId="0" fillId="0" borderId="0" xfId="1" applyFont="1" applyBorder="1"/>
    <xf numFmtId="43" fontId="0" fillId="2" borderId="0" xfId="1" applyFont="1" applyFill="1" applyBorder="1"/>
    <xf numFmtId="44" fontId="0" fillId="0" borderId="0" xfId="1" applyNumberFormat="1" applyFont="1" applyBorder="1"/>
    <xf numFmtId="43" fontId="0" fillId="0" borderId="1" xfId="1" applyFont="1" applyBorder="1"/>
    <xf numFmtId="43" fontId="0" fillId="2" borderId="1" xfId="1" applyFont="1" applyFill="1" applyBorder="1"/>
    <xf numFmtId="0" fontId="0" fillId="0" borderId="1" xfId="0" applyBorder="1"/>
    <xf numFmtId="43" fontId="0" fillId="0" borderId="1" xfId="0" applyNumberFormat="1" applyBorder="1"/>
    <xf numFmtId="0" fontId="2" fillId="0" borderId="0" xfId="0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iPath/Deposits%20Processor/AllStatements%20(version%201)%20(version%201)%20(version%201).xlsx" TargetMode="External"/><Relationship Id="rId2" Type="http://schemas.openxmlformats.org/officeDocument/2006/relationships/externalLinkPath" Target="file:///C:\Users\yinka\Documents\UiPath\Deposits%20Processor\AllStatements%20(version%201)%20(version%201)%20(version%201).xlsx" TargetMode="External"/><Relationship Id="rId1" Type="http://schemas.openxmlformats.org/officeDocument/2006/relationships/externalLinkPath" Target="/Users/yinka/Documents/UiPath/Deposits%20Processor/AllStatements%20(version%201)%20(version%201)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2026"/>
      <sheetName val="March 2026"/>
      <sheetName val="Sheet1 (3)"/>
      <sheetName val="February 2026"/>
      <sheetName val="November 2025"/>
      <sheetName val="October 2025"/>
      <sheetName val="Contributors Behind"/>
      <sheetName val="Dec 2024"/>
      <sheetName val="Nov 2024"/>
      <sheetName val="Oct 2024"/>
      <sheetName val="Sept 2024 (2)"/>
      <sheetName val="Sept 2024"/>
      <sheetName val="August 2024"/>
      <sheetName val="July 2024 (2)"/>
      <sheetName val="2024 Deposits"/>
      <sheetName val="June 2024 (2)"/>
      <sheetName val="Loan Details"/>
      <sheetName val="Sheet1 (2)"/>
      <sheetName val="Account Statements 2024 F"/>
      <sheetName val="Saheed"/>
      <sheetName val="Jan 2025"/>
      <sheetName val="Feb 2025"/>
      <sheetName val="March 2025"/>
      <sheetName val="April 2025"/>
      <sheetName val="May 2025"/>
      <sheetName val="June 2025"/>
      <sheetName val="July 2025"/>
      <sheetName val="September 2025"/>
      <sheetName val="August 2025"/>
      <sheetName val="Sheet7"/>
      <sheetName val="Oluwabiyi"/>
      <sheetName val="Unencumbered Guarantors 8.2025"/>
      <sheetName val="Loan Repayments"/>
      <sheetName val="Summary2024"/>
      <sheetName val="Account Statements 2024"/>
      <sheetName val="Status Report 2024"/>
      <sheetName val="Account Statements 2024 (3)"/>
      <sheetName val="Account Statements 2024 (2)"/>
      <sheetName val="Account Statements (4)"/>
      <sheetName val="Account Statements (3)"/>
      <sheetName val="Sheet4"/>
      <sheetName val="Deposits Summary"/>
      <sheetName val="Deposits Chart"/>
      <sheetName val="Account Statements (2)"/>
      <sheetName val="Account Statements"/>
      <sheetName val="CallList"/>
      <sheetName val="Sheet2 (4)"/>
      <sheetName val="Sheet2 (3)"/>
      <sheetName val="Sheet2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5"/>
      <sheetData sheetId="16"/>
      <sheetData sheetId="17">
        <row r="13">
          <cell r="G13">
            <v>200.03</v>
          </cell>
        </row>
        <row r="51">
          <cell r="H51">
            <v>2452.5199999999995</v>
          </cell>
        </row>
        <row r="52">
          <cell r="H52">
            <v>2821.3799999999992</v>
          </cell>
        </row>
        <row r="53">
          <cell r="G53">
            <v>50.02</v>
          </cell>
          <cell r="H53">
            <v>2700.7599999999998</v>
          </cell>
        </row>
        <row r="66">
          <cell r="H66">
            <v>2400.8399999999997</v>
          </cell>
        </row>
        <row r="100">
          <cell r="G100">
            <v>100.09</v>
          </cell>
        </row>
        <row r="101">
          <cell r="G101">
            <v>200</v>
          </cell>
        </row>
        <row r="102">
          <cell r="G102">
            <v>150</v>
          </cell>
        </row>
        <row r="103">
          <cell r="G103">
            <v>100.13</v>
          </cell>
        </row>
        <row r="104">
          <cell r="G104">
            <v>50.02</v>
          </cell>
        </row>
        <row r="105">
          <cell r="G105">
            <v>100.04</v>
          </cell>
        </row>
        <row r="106">
          <cell r="G106">
            <v>50.07</v>
          </cell>
        </row>
        <row r="107">
          <cell r="G107">
            <v>100.09</v>
          </cell>
        </row>
        <row r="111">
          <cell r="G111">
            <v>100.13</v>
          </cell>
        </row>
        <row r="112">
          <cell r="G112">
            <v>150</v>
          </cell>
        </row>
        <row r="116">
          <cell r="G116">
            <v>100.07</v>
          </cell>
        </row>
        <row r="117">
          <cell r="G117">
            <v>100.13</v>
          </cell>
        </row>
        <row r="119">
          <cell r="G119">
            <v>100</v>
          </cell>
        </row>
        <row r="120">
          <cell r="G120">
            <v>50.02</v>
          </cell>
        </row>
        <row r="121">
          <cell r="G121">
            <v>50.07</v>
          </cell>
        </row>
        <row r="124">
          <cell r="G124">
            <v>100.09</v>
          </cell>
        </row>
        <row r="125">
          <cell r="G125">
            <v>50.07</v>
          </cell>
        </row>
        <row r="126">
          <cell r="G126">
            <v>100</v>
          </cell>
        </row>
        <row r="127">
          <cell r="G127">
            <v>150</v>
          </cell>
        </row>
        <row r="128">
          <cell r="G128">
            <v>100.13</v>
          </cell>
        </row>
        <row r="129">
          <cell r="G129">
            <v>50</v>
          </cell>
        </row>
        <row r="136">
          <cell r="G136">
            <v>100.13</v>
          </cell>
        </row>
        <row r="137">
          <cell r="G137">
            <v>150</v>
          </cell>
        </row>
        <row r="138">
          <cell r="G138">
            <v>100.04</v>
          </cell>
        </row>
        <row r="139">
          <cell r="G139">
            <v>50.02</v>
          </cell>
        </row>
        <row r="140">
          <cell r="G140">
            <v>100</v>
          </cell>
        </row>
        <row r="142">
          <cell r="G142">
            <v>100</v>
          </cell>
        </row>
        <row r="143">
          <cell r="G143">
            <v>50.07</v>
          </cell>
        </row>
        <row r="144">
          <cell r="G144">
            <v>100.13</v>
          </cell>
        </row>
        <row r="145">
          <cell r="G145">
            <v>100.07</v>
          </cell>
        </row>
        <row r="146">
          <cell r="G146">
            <v>50.02</v>
          </cell>
        </row>
        <row r="148">
          <cell r="G148">
            <v>50</v>
          </cell>
        </row>
        <row r="149">
          <cell r="G149">
            <v>100</v>
          </cell>
        </row>
        <row r="152">
          <cell r="G152">
            <v>100.13</v>
          </cell>
        </row>
        <row r="153">
          <cell r="G153">
            <v>150</v>
          </cell>
        </row>
        <row r="154">
          <cell r="G154">
            <v>50.02</v>
          </cell>
        </row>
        <row r="156">
          <cell r="G156">
            <v>50.07</v>
          </cell>
        </row>
        <row r="157">
          <cell r="G157">
            <v>100</v>
          </cell>
        </row>
        <row r="158">
          <cell r="G158">
            <v>100.09</v>
          </cell>
        </row>
        <row r="161">
          <cell r="D161">
            <v>100.04</v>
          </cell>
        </row>
        <row r="162">
          <cell r="D162">
            <v>100.13</v>
          </cell>
        </row>
        <row r="163">
          <cell r="D163">
            <v>50.02</v>
          </cell>
        </row>
        <row r="165">
          <cell r="D165">
            <v>100</v>
          </cell>
        </row>
        <row r="166">
          <cell r="D166">
            <v>100.09</v>
          </cell>
        </row>
        <row r="170">
          <cell r="G170">
            <v>50.07</v>
          </cell>
        </row>
        <row r="171">
          <cell r="G171">
            <v>100.13</v>
          </cell>
        </row>
        <row r="172">
          <cell r="G172">
            <v>50.02</v>
          </cell>
        </row>
        <row r="174">
          <cell r="G174">
            <v>100.09</v>
          </cell>
        </row>
        <row r="175">
          <cell r="G175">
            <v>50.07</v>
          </cell>
        </row>
        <row r="176">
          <cell r="G176">
            <v>100</v>
          </cell>
        </row>
        <row r="179">
          <cell r="G179">
            <v>100.13</v>
          </cell>
        </row>
        <row r="180">
          <cell r="G180">
            <v>150</v>
          </cell>
        </row>
        <row r="182">
          <cell r="G182">
            <v>50.07</v>
          </cell>
        </row>
        <row r="183">
          <cell r="G183">
            <v>50.02</v>
          </cell>
        </row>
        <row r="185">
          <cell r="G185">
            <v>100.09</v>
          </cell>
        </row>
        <row r="190">
          <cell r="G190">
            <v>100.13</v>
          </cell>
        </row>
        <row r="191">
          <cell r="G191">
            <v>100</v>
          </cell>
        </row>
        <row r="192">
          <cell r="G192">
            <v>50.07</v>
          </cell>
        </row>
        <row r="193">
          <cell r="G193">
            <v>150</v>
          </cell>
        </row>
        <row r="196">
          <cell r="D196">
            <v>150</v>
          </cell>
        </row>
        <row r="197">
          <cell r="D197">
            <v>100</v>
          </cell>
        </row>
        <row r="198">
          <cell r="D198">
            <v>50.02</v>
          </cell>
        </row>
        <row r="202">
          <cell r="D202">
            <v>150</v>
          </cell>
        </row>
        <row r="203">
          <cell r="D203">
            <v>100.09</v>
          </cell>
        </row>
        <row r="206">
          <cell r="G206">
            <v>316</v>
          </cell>
          <cell r="H206">
            <v>2717.5000000000005</v>
          </cell>
        </row>
        <row r="208">
          <cell r="G208">
            <v>106</v>
          </cell>
        </row>
        <row r="210">
          <cell r="G210">
            <v>50.17</v>
          </cell>
          <cell r="H210">
            <v>902.54999999999984</v>
          </cell>
        </row>
        <row r="211">
          <cell r="G211">
            <v>150</v>
          </cell>
        </row>
        <row r="212">
          <cell r="G212">
            <v>50.02</v>
          </cell>
        </row>
        <row r="214">
          <cell r="G214">
            <v>100.09</v>
          </cell>
        </row>
        <row r="215">
          <cell r="G215">
            <v>50.07</v>
          </cell>
        </row>
        <row r="216">
          <cell r="G216">
            <v>150</v>
          </cell>
          <cell r="H216">
            <v>590</v>
          </cell>
        </row>
        <row r="217">
          <cell r="D217">
            <v>50.06</v>
          </cell>
        </row>
        <row r="221">
          <cell r="G221">
            <v>300.14999999999998</v>
          </cell>
        </row>
        <row r="222">
          <cell r="G222">
            <v>100.13</v>
          </cell>
        </row>
        <row r="225">
          <cell r="G225">
            <v>240</v>
          </cell>
        </row>
        <row r="226">
          <cell r="G226">
            <v>100</v>
          </cell>
        </row>
        <row r="227">
          <cell r="G227">
            <v>50.17</v>
          </cell>
        </row>
        <row r="228">
          <cell r="G228">
            <v>150</v>
          </cell>
        </row>
        <row r="230">
          <cell r="G230">
            <v>100.13</v>
          </cell>
        </row>
        <row r="231">
          <cell r="G231">
            <v>100</v>
          </cell>
          <cell r="H231">
            <v>650</v>
          </cell>
        </row>
        <row r="232">
          <cell r="G232">
            <v>50.07</v>
          </cell>
        </row>
        <row r="233">
          <cell r="G233">
            <v>50.02</v>
          </cell>
        </row>
        <row r="235">
          <cell r="G235">
            <v>100.06</v>
          </cell>
        </row>
        <row r="236">
          <cell r="G236">
            <v>100.09</v>
          </cell>
        </row>
        <row r="241">
          <cell r="G241">
            <v>300.14999999999998</v>
          </cell>
        </row>
        <row r="242">
          <cell r="G242">
            <v>700</v>
          </cell>
          <cell r="H242">
            <v>800</v>
          </cell>
        </row>
        <row r="243">
          <cell r="G243">
            <v>150</v>
          </cell>
        </row>
        <row r="244">
          <cell r="G244">
            <v>100.13</v>
          </cell>
        </row>
        <row r="245">
          <cell r="G245">
            <v>100</v>
          </cell>
        </row>
        <row r="246">
          <cell r="G246">
            <v>50.07</v>
          </cell>
        </row>
        <row r="251">
          <cell r="G251">
            <v>100.04</v>
          </cell>
        </row>
        <row r="252">
          <cell r="G252">
            <v>100</v>
          </cell>
          <cell r="H252">
            <v>750</v>
          </cell>
        </row>
        <row r="253">
          <cell r="G253">
            <v>50.02</v>
          </cell>
        </row>
        <row r="256">
          <cell r="G256">
            <v>100</v>
          </cell>
        </row>
        <row r="257">
          <cell r="G257">
            <v>50.17</v>
          </cell>
        </row>
        <row r="259">
          <cell r="G259">
            <v>100.09</v>
          </cell>
        </row>
        <row r="260">
          <cell r="G260">
            <v>70.06</v>
          </cell>
        </row>
        <row r="265">
          <cell r="G265">
            <v>100</v>
          </cell>
        </row>
        <row r="266">
          <cell r="G266">
            <v>150</v>
          </cell>
        </row>
        <row r="267">
          <cell r="G267">
            <v>100.13</v>
          </cell>
        </row>
        <row r="268">
          <cell r="G268">
            <v>100.04</v>
          </cell>
        </row>
        <row r="269">
          <cell r="G269">
            <v>300.14999999999998</v>
          </cell>
        </row>
        <row r="270">
          <cell r="G270">
            <v>100.02</v>
          </cell>
        </row>
        <row r="271">
          <cell r="G271">
            <v>50.17</v>
          </cell>
        </row>
        <row r="272">
          <cell r="G272">
            <v>50</v>
          </cell>
        </row>
        <row r="274">
          <cell r="G274">
            <v>100</v>
          </cell>
        </row>
        <row r="276">
          <cell r="G276">
            <v>100.09</v>
          </cell>
        </row>
        <row r="277">
          <cell r="G277">
            <v>50.07</v>
          </cell>
        </row>
        <row r="280">
          <cell r="G280">
            <v>100</v>
          </cell>
        </row>
        <row r="281">
          <cell r="G281">
            <v>50</v>
          </cell>
        </row>
        <row r="283">
          <cell r="G283">
            <v>300.14999999999998</v>
          </cell>
        </row>
        <row r="284">
          <cell r="G284">
            <v>100.13</v>
          </cell>
        </row>
        <row r="285">
          <cell r="G285">
            <v>150</v>
          </cell>
        </row>
        <row r="286">
          <cell r="G286">
            <v>100.04</v>
          </cell>
        </row>
        <row r="288">
          <cell r="G288">
            <v>100.02</v>
          </cell>
        </row>
        <row r="289">
          <cell r="G289">
            <v>50.17</v>
          </cell>
        </row>
        <row r="290">
          <cell r="G290">
            <v>100.09</v>
          </cell>
        </row>
        <row r="294">
          <cell r="G294">
            <v>100.07</v>
          </cell>
        </row>
        <row r="295">
          <cell r="G295">
            <v>50</v>
          </cell>
        </row>
        <row r="297">
          <cell r="G297">
            <v>100</v>
          </cell>
        </row>
        <row r="298">
          <cell r="G298">
            <v>50.17</v>
          </cell>
        </row>
        <row r="299">
          <cell r="G299">
            <v>300.14999999999998</v>
          </cell>
        </row>
        <row r="300">
          <cell r="G300">
            <v>100.13</v>
          </cell>
        </row>
        <row r="301">
          <cell r="G301">
            <v>150</v>
          </cell>
        </row>
        <row r="302">
          <cell r="G302">
            <v>100.04</v>
          </cell>
        </row>
        <row r="303">
          <cell r="G303">
            <v>100.02</v>
          </cell>
        </row>
        <row r="304">
          <cell r="G304">
            <v>50</v>
          </cell>
        </row>
        <row r="308">
          <cell r="G308">
            <v>100.09</v>
          </cell>
        </row>
        <row r="312">
          <cell r="G312">
            <v>50</v>
          </cell>
        </row>
        <row r="313">
          <cell r="G313">
            <v>100.13</v>
          </cell>
        </row>
        <row r="314">
          <cell r="G314">
            <v>50.06</v>
          </cell>
        </row>
        <row r="315">
          <cell r="G315">
            <v>150</v>
          </cell>
        </row>
        <row r="316">
          <cell r="G316">
            <v>50.07</v>
          </cell>
        </row>
        <row r="317">
          <cell r="G317">
            <v>100.04</v>
          </cell>
        </row>
        <row r="318">
          <cell r="G318">
            <v>100.02</v>
          </cell>
        </row>
        <row r="320">
          <cell r="G320">
            <v>50</v>
          </cell>
        </row>
        <row r="322">
          <cell r="G322">
            <v>250</v>
          </cell>
        </row>
        <row r="323">
          <cell r="G323">
            <v>100</v>
          </cell>
        </row>
        <row r="326">
          <cell r="G326">
            <v>150.15</v>
          </cell>
        </row>
        <row r="327">
          <cell r="G327">
            <v>100.09</v>
          </cell>
        </row>
        <row r="329">
          <cell r="G329">
            <v>50.17</v>
          </cell>
        </row>
        <row r="335">
          <cell r="G335">
            <v>150</v>
          </cell>
        </row>
        <row r="337">
          <cell r="G337">
            <v>100.13</v>
          </cell>
        </row>
        <row r="338">
          <cell r="G338">
            <v>100.04</v>
          </cell>
        </row>
        <row r="341">
          <cell r="G341">
            <v>150.15</v>
          </cell>
        </row>
        <row r="342">
          <cell r="G342">
            <v>100.02</v>
          </cell>
        </row>
        <row r="343">
          <cell r="G343">
            <v>50.07</v>
          </cell>
        </row>
        <row r="344">
          <cell r="G344">
            <v>50.06</v>
          </cell>
        </row>
        <row r="345">
          <cell r="G345">
            <v>50</v>
          </cell>
        </row>
        <row r="346">
          <cell r="G346">
            <v>50.17</v>
          </cell>
        </row>
        <row r="348">
          <cell r="G348">
            <v>50</v>
          </cell>
        </row>
        <row r="349">
          <cell r="G349">
            <v>200</v>
          </cell>
          <cell r="H349">
            <v>1000</v>
          </cell>
        </row>
        <row r="350">
          <cell r="G350">
            <v>100.09</v>
          </cell>
        </row>
        <row r="355">
          <cell r="G355">
            <v>100.13</v>
          </cell>
        </row>
        <row r="356">
          <cell r="G356">
            <v>50.06</v>
          </cell>
        </row>
        <row r="358">
          <cell r="G358">
            <v>150.15</v>
          </cell>
        </row>
        <row r="359">
          <cell r="G359">
            <v>100</v>
          </cell>
        </row>
        <row r="360">
          <cell r="G360">
            <v>100.04</v>
          </cell>
        </row>
        <row r="361">
          <cell r="G361">
            <v>50</v>
          </cell>
        </row>
        <row r="362">
          <cell r="G362">
            <v>150</v>
          </cell>
          <cell r="H362">
            <v>150</v>
          </cell>
        </row>
        <row r="363">
          <cell r="G363">
            <v>100.02</v>
          </cell>
        </row>
        <row r="364">
          <cell r="G364">
            <v>50.17</v>
          </cell>
        </row>
        <row r="367">
          <cell r="G367">
            <v>150</v>
          </cell>
          <cell r="H367">
            <v>850</v>
          </cell>
        </row>
        <row r="368">
          <cell r="G368">
            <v>100</v>
          </cell>
        </row>
        <row r="369">
          <cell r="G369">
            <v>100.09</v>
          </cell>
        </row>
        <row r="373">
          <cell r="G373">
            <v>100</v>
          </cell>
        </row>
        <row r="374">
          <cell r="G374">
            <v>50.17</v>
          </cell>
        </row>
        <row r="376">
          <cell r="G376">
            <v>150</v>
          </cell>
        </row>
        <row r="377">
          <cell r="G377">
            <v>100.13</v>
          </cell>
        </row>
        <row r="378">
          <cell r="G378">
            <v>100.07</v>
          </cell>
        </row>
        <row r="379">
          <cell r="G379">
            <v>50</v>
          </cell>
        </row>
        <row r="380">
          <cell r="G380">
            <v>150.15</v>
          </cell>
        </row>
        <row r="381">
          <cell r="G381">
            <v>100.04</v>
          </cell>
        </row>
        <row r="382">
          <cell r="G382">
            <v>100.02</v>
          </cell>
        </row>
        <row r="383">
          <cell r="G383">
            <v>100</v>
          </cell>
        </row>
        <row r="384">
          <cell r="G384">
            <v>50.06</v>
          </cell>
        </row>
        <row r="386">
          <cell r="G386">
            <v>100.09</v>
          </cell>
        </row>
        <row r="390">
          <cell r="G390">
            <v>100</v>
          </cell>
        </row>
        <row r="391">
          <cell r="G391">
            <v>100</v>
          </cell>
        </row>
        <row r="392">
          <cell r="G392">
            <v>50.07</v>
          </cell>
        </row>
        <row r="393">
          <cell r="G393">
            <v>50</v>
          </cell>
        </row>
        <row r="396">
          <cell r="G396">
            <v>100.13</v>
          </cell>
        </row>
        <row r="397">
          <cell r="G397">
            <v>100</v>
          </cell>
        </row>
        <row r="398">
          <cell r="G398">
            <v>50.17</v>
          </cell>
        </row>
        <row r="399">
          <cell r="G399">
            <v>150.15</v>
          </cell>
        </row>
        <row r="400">
          <cell r="G400">
            <v>100.04</v>
          </cell>
        </row>
        <row r="401">
          <cell r="G401">
            <v>100.02</v>
          </cell>
        </row>
        <row r="402">
          <cell r="G402">
            <v>50.06</v>
          </cell>
        </row>
        <row r="404">
          <cell r="G404">
            <v>100</v>
          </cell>
        </row>
        <row r="405">
          <cell r="G405">
            <v>100.09</v>
          </cell>
        </row>
        <row r="409">
          <cell r="G409">
            <v>100</v>
          </cell>
        </row>
        <row r="410">
          <cell r="G410">
            <v>50.17</v>
          </cell>
        </row>
        <row r="411">
          <cell r="G411">
            <v>100.04</v>
          </cell>
        </row>
        <row r="412">
          <cell r="G412">
            <v>100</v>
          </cell>
        </row>
        <row r="414">
          <cell r="G414">
            <v>100.02</v>
          </cell>
        </row>
        <row r="415">
          <cell r="G415">
            <v>100.13</v>
          </cell>
        </row>
        <row r="417">
          <cell r="G417">
            <v>100.09</v>
          </cell>
        </row>
        <row r="418">
          <cell r="G418">
            <v>50.06</v>
          </cell>
        </row>
        <row r="422">
          <cell r="G422">
            <v>100</v>
          </cell>
        </row>
        <row r="423">
          <cell r="G423">
            <v>50.17</v>
          </cell>
        </row>
        <row r="424">
          <cell r="G424">
            <v>100.04</v>
          </cell>
        </row>
        <row r="426">
          <cell r="G426">
            <v>100.13</v>
          </cell>
        </row>
        <row r="427">
          <cell r="G427">
            <v>100.02</v>
          </cell>
        </row>
        <row r="428">
          <cell r="G428">
            <v>100</v>
          </cell>
        </row>
        <row r="430">
          <cell r="G430">
            <v>100.07</v>
          </cell>
        </row>
        <row r="431">
          <cell r="G431">
            <v>50.06</v>
          </cell>
        </row>
        <row r="432">
          <cell r="G432">
            <v>100.09</v>
          </cell>
        </row>
        <row r="434">
          <cell r="G434">
            <v>100</v>
          </cell>
        </row>
        <row r="435">
          <cell r="G435">
            <v>50</v>
          </cell>
        </row>
        <row r="436">
          <cell r="G436">
            <v>100</v>
          </cell>
        </row>
        <row r="437">
          <cell r="G437">
            <v>50</v>
          </cell>
        </row>
        <row r="439">
          <cell r="G439">
            <v>100.13</v>
          </cell>
        </row>
        <row r="440">
          <cell r="G440">
            <v>100.04</v>
          </cell>
        </row>
        <row r="441">
          <cell r="G441">
            <v>100.02</v>
          </cell>
        </row>
        <row r="442">
          <cell r="G442">
            <v>50.06</v>
          </cell>
        </row>
        <row r="446">
          <cell r="G446">
            <v>50</v>
          </cell>
        </row>
        <row r="448">
          <cell r="G448">
            <v>50.07</v>
          </cell>
        </row>
        <row r="450">
          <cell r="G450">
            <v>100</v>
          </cell>
        </row>
        <row r="452">
          <cell r="G452">
            <v>100.09</v>
          </cell>
        </row>
        <row r="453">
          <cell r="G453">
            <v>100</v>
          </cell>
        </row>
        <row r="454">
          <cell r="G454">
            <v>150</v>
          </cell>
        </row>
        <row r="455">
          <cell r="G455">
            <v>80.06</v>
          </cell>
        </row>
        <row r="456">
          <cell r="G456">
            <v>50</v>
          </cell>
        </row>
        <row r="458">
          <cell r="G458">
            <v>100.04</v>
          </cell>
        </row>
        <row r="459">
          <cell r="G459">
            <v>100.02</v>
          </cell>
        </row>
        <row r="460">
          <cell r="G460">
            <v>100</v>
          </cell>
        </row>
        <row r="461">
          <cell r="G461">
            <v>50.17</v>
          </cell>
        </row>
        <row r="463">
          <cell r="G463">
            <v>70.06</v>
          </cell>
        </row>
        <row r="464">
          <cell r="G464">
            <v>100.13</v>
          </cell>
        </row>
        <row r="465">
          <cell r="G465">
            <v>50</v>
          </cell>
        </row>
        <row r="466">
          <cell r="G466">
            <v>50.17</v>
          </cell>
        </row>
        <row r="467">
          <cell r="G467">
            <v>100.09</v>
          </cell>
        </row>
        <row r="469">
          <cell r="G469">
            <v>100</v>
          </cell>
        </row>
        <row r="470">
          <cell r="G470">
            <v>100</v>
          </cell>
        </row>
        <row r="471">
          <cell r="G471">
            <v>70.06</v>
          </cell>
        </row>
        <row r="472">
          <cell r="G472">
            <v>50</v>
          </cell>
        </row>
        <row r="475">
          <cell r="G475">
            <v>100.13</v>
          </cell>
        </row>
        <row r="476">
          <cell r="G476">
            <v>100</v>
          </cell>
        </row>
        <row r="477">
          <cell r="G477">
            <v>100.04</v>
          </cell>
        </row>
        <row r="478">
          <cell r="G478">
            <v>100.02</v>
          </cell>
        </row>
        <row r="481">
          <cell r="G481">
            <v>50</v>
          </cell>
        </row>
        <row r="482">
          <cell r="G482">
            <v>-1721.91</v>
          </cell>
        </row>
        <row r="483">
          <cell r="G483">
            <v>200.07</v>
          </cell>
        </row>
        <row r="484">
          <cell r="G484">
            <v>80.06</v>
          </cell>
        </row>
        <row r="485">
          <cell r="G485">
            <v>100.09</v>
          </cell>
        </row>
        <row r="588">
          <cell r="A588" t="str">
            <v>Clement Aribisala</v>
          </cell>
          <cell r="B588" t="str">
            <v>2/7/2023</v>
          </cell>
          <cell r="C588" t="str">
            <v>NFCU ACH DES:P2P ID:CLEMENT O ARIBI INDN:ASSURANCE INVESTMENT A CO ID:9000000021 WEB</v>
          </cell>
          <cell r="D588" t="str">
            <v>150</v>
          </cell>
          <cell r="E588" t="str">
            <v>450</v>
          </cell>
          <cell r="F588" t="str">
            <v>Clement Aribisala</v>
          </cell>
          <cell r="G588">
            <v>150</v>
          </cell>
          <cell r="H588">
            <v>2700.7599999999998</v>
          </cell>
        </row>
        <row r="589">
          <cell r="A589" t="str">
            <v>Yomi Salami</v>
          </cell>
          <cell r="B589" t="str">
            <v>2/9/2023</v>
          </cell>
          <cell r="C589" t="str">
            <v>NFCU ACH DES:P2P ID:SAHEED A SALAMI INDN:ASSURANCE INVESTMENT A CO ID:9000000021 WEB</v>
          </cell>
          <cell r="D589" t="str">
            <v>1100</v>
          </cell>
          <cell r="E589" t="str">
            <v>1550</v>
          </cell>
          <cell r="F589" t="str">
            <v>Yomi Salami</v>
          </cell>
          <cell r="G589">
            <v>1100</v>
          </cell>
          <cell r="H589">
            <v>5000.2000000000007</v>
          </cell>
        </row>
        <row r="590">
          <cell r="A590" t="str">
            <v>Adedayo Tolani</v>
          </cell>
          <cell r="B590" t="str">
            <v>2/15/2023</v>
          </cell>
          <cell r="C590" t="str">
            <v>Counter Credit</v>
          </cell>
          <cell r="D590" t="str">
            <v>200.09</v>
          </cell>
          <cell r="E590" t="str">
            <v>1750.09</v>
          </cell>
          <cell r="F590" t="str">
            <v>Adedayo Tolani</v>
          </cell>
          <cell r="G590">
            <v>200.09</v>
          </cell>
          <cell r="H590">
            <v>4003.3300000000022</v>
          </cell>
        </row>
        <row r="591">
          <cell r="A591" t="str">
            <v>Lolu Adanri</v>
          </cell>
          <cell r="B591" t="str">
            <v>2/17/2023</v>
          </cell>
          <cell r="C591" t="str">
            <v>NFCU ACH DES:P2P ID:OMOLOLU V ADANR INDN:ASSURANCE INVESTMENT I CO ID:9000000021 WEB</v>
          </cell>
          <cell r="D591" t="str">
            <v>150.01</v>
          </cell>
          <cell r="E591" t="str">
            <v>1900.1</v>
          </cell>
          <cell r="F591" t="str">
            <v>Lolu Adanri</v>
          </cell>
          <cell r="G591">
            <v>150.01</v>
          </cell>
          <cell r="H591">
            <v>2356.04</v>
          </cell>
        </row>
        <row r="592">
          <cell r="A592" t="str">
            <v>Yinka Daramola</v>
          </cell>
          <cell r="B592" t="str">
            <v>2/21/2023</v>
          </cell>
          <cell r="C592" t="str">
            <v>Zelle Transfer Conf# y0009qyyE; AWOYINKA DARAMOLA</v>
          </cell>
          <cell r="D592" t="str">
            <v>150.07</v>
          </cell>
          <cell r="E592" t="str">
            <v>2050.17</v>
          </cell>
          <cell r="F592" t="str">
            <v>Yinka Daramola</v>
          </cell>
          <cell r="G592">
            <v>150.07</v>
          </cell>
          <cell r="H592">
            <v>2452.5199999999995</v>
          </cell>
        </row>
        <row r="593">
          <cell r="A593" t="str">
            <v>Yinka Daramola</v>
          </cell>
          <cell r="B593" t="str">
            <v>2/27/2023</v>
          </cell>
          <cell r="C593" t="str">
            <v>Zelle Transfer Conf# A0009MOK6; AWOYINKA DARAMOLA</v>
          </cell>
          <cell r="D593" t="str">
            <v>50.07</v>
          </cell>
          <cell r="E593" t="str">
            <v>2100.24</v>
          </cell>
          <cell r="F593" t="str">
            <v>Yinka Daramola</v>
          </cell>
          <cell r="G593">
            <v>50.07</v>
          </cell>
          <cell r="H593">
            <v>2452.5199999999995</v>
          </cell>
        </row>
        <row r="595">
          <cell r="A595" t="str">
            <v>Kelvin Amede</v>
          </cell>
          <cell r="B595" t="str">
            <v>3/1/2023</v>
          </cell>
          <cell r="C595" t="str">
            <v>Zelle Transfer Conf# 01TKLXVB9; KELVIN AMEDE</v>
          </cell>
          <cell r="D595" t="str">
            <v>250.03</v>
          </cell>
          <cell r="E595" t="str">
            <v>2350.27</v>
          </cell>
          <cell r="F595" t="str">
            <v>Kelvin Amede</v>
          </cell>
          <cell r="G595">
            <v>250.03</v>
          </cell>
          <cell r="H595">
            <v>3400.06</v>
          </cell>
        </row>
        <row r="596">
          <cell r="A596" t="str">
            <v>Taiwo Embassey</v>
          </cell>
          <cell r="B596" t="str">
            <v>3/3/2023</v>
          </cell>
          <cell r="C596" t="str">
            <v>Zelle payment from TAIWO EMBASSEY Conf# g0kv42bcb</v>
          </cell>
          <cell r="D596" t="str">
            <v>208</v>
          </cell>
          <cell r="E596" t="str">
            <v>2558.27</v>
          </cell>
          <cell r="F596" t="str">
            <v>Taiwo Embassey</v>
          </cell>
          <cell r="G596">
            <v>208</v>
          </cell>
          <cell r="H596">
            <v>508</v>
          </cell>
        </row>
        <row r="597">
          <cell r="A597" t="str">
            <v>Adedayo Tolani</v>
          </cell>
          <cell r="B597" t="str">
            <v>3/6/2023</v>
          </cell>
          <cell r="C597" t="str">
            <v>Zelle payment from KAMORU TOLANI Conf# exsy1adej</v>
          </cell>
          <cell r="D597" t="str">
            <v>100.09</v>
          </cell>
          <cell r="E597" t="str">
            <v>3858.44</v>
          </cell>
          <cell r="F597" t="str">
            <v>Adedayo Tolani</v>
          </cell>
          <cell r="G597">
            <v>100.09</v>
          </cell>
          <cell r="H597">
            <v>4003.3300000000022</v>
          </cell>
        </row>
        <row r="598">
          <cell r="A598" t="str">
            <v>Kelvin Amede</v>
          </cell>
          <cell r="B598" t="str">
            <v>3/6/2023</v>
          </cell>
          <cell r="C598" t="str">
            <v>Zelle Transfer Conf# 01TO0LHYP; KELVIN AMEDE</v>
          </cell>
          <cell r="D598" t="str">
            <v>200.03</v>
          </cell>
          <cell r="E598" t="str">
            <v>3758.35</v>
          </cell>
          <cell r="F598" t="str">
            <v>Kelvin Amede</v>
          </cell>
          <cell r="G598">
            <v>200.03</v>
          </cell>
          <cell r="H598">
            <v>3400.06</v>
          </cell>
        </row>
        <row r="599">
          <cell r="A599" t="str">
            <v>Yomi Salami</v>
          </cell>
          <cell r="B599" t="str">
            <v>3/6/2023</v>
          </cell>
          <cell r="C599" t="str">
            <v>NFCU ACH DES:P2P ID:SAHEED A SALAMI INDN:ASSURANCE INVESTMENT A CO ID:9000000021 WEB</v>
          </cell>
          <cell r="D599" t="str">
            <v>1000.05</v>
          </cell>
          <cell r="E599" t="str">
            <v>3558.32</v>
          </cell>
          <cell r="F599" t="str">
            <v>Yomi Salami</v>
          </cell>
          <cell r="G599">
            <v>1000.05</v>
          </cell>
          <cell r="H599">
            <v>5000.2000000000007</v>
          </cell>
        </row>
        <row r="600">
          <cell r="A600" t="str">
            <v>Lolu Adanri</v>
          </cell>
          <cell r="B600" t="str">
            <v>3/8/2023</v>
          </cell>
          <cell r="C600" t="str">
            <v>NFCU ACH DES:P2P ID:OMOLOLU V ADANR INDN:ASSURANCE INVESTMENT I CO ID:9000000021 WEB</v>
          </cell>
          <cell r="D600" t="str">
            <v>50.01</v>
          </cell>
          <cell r="E600" t="str">
            <v>3908.45</v>
          </cell>
          <cell r="F600" t="str">
            <v>Lolu Adanri</v>
          </cell>
          <cell r="G600">
            <v>50.01</v>
          </cell>
          <cell r="H600">
            <v>2356.04</v>
          </cell>
        </row>
        <row r="601">
          <cell r="A601" t="str">
            <v>Clement Aribisala</v>
          </cell>
          <cell r="B601" t="str">
            <v>3/16/2023</v>
          </cell>
          <cell r="C601" t="str">
            <v>NFCU ACH DES:P2P ID:CLEMENT O ARIBI INDN:ASSURANCE INVESTMENT A CO ID:9000000011 WEB</v>
          </cell>
          <cell r="D601" t="str">
            <v>50.02</v>
          </cell>
          <cell r="E601" t="str">
            <v>3958.47</v>
          </cell>
          <cell r="F601" t="str">
            <v>Clement Aribisala</v>
          </cell>
          <cell r="G601">
            <v>50.02</v>
          </cell>
          <cell r="H601">
            <v>2700.7599999999998</v>
          </cell>
        </row>
        <row r="602">
          <cell r="A602" t="str">
            <v>Oluwabiyi Omotuyole</v>
          </cell>
          <cell r="B602" t="str">
            <v>3/17/2023</v>
          </cell>
          <cell r="C602" t="str">
            <v>Zelle payment from OLUWABIYI OMOTUYOLE for oluwabiyi's contribution"; Conf# f9g22s51z"</v>
          </cell>
          <cell r="D602" t="str">
            <v>150.13</v>
          </cell>
          <cell r="E602" t="str">
            <v>4108.6</v>
          </cell>
          <cell r="F602" t="str">
            <v>Oluwabiyi Omotuyole</v>
          </cell>
          <cell r="G602">
            <v>150.13</v>
          </cell>
          <cell r="H602">
            <v>3804.9400000000028</v>
          </cell>
        </row>
        <row r="603">
          <cell r="A603" t="str">
            <v>Mutiu Saliu</v>
          </cell>
          <cell r="B603" t="str">
            <v>3/20/2023</v>
          </cell>
          <cell r="C603" t="str">
            <v>Zelle Transfer Conf# 01U26U2W8; MUTIU SALIU</v>
          </cell>
          <cell r="D603" t="str">
            <v>200.04</v>
          </cell>
          <cell r="E603" t="str">
            <v>4308.64</v>
          </cell>
          <cell r="F603" t="str">
            <v>Mutiu Saliu</v>
          </cell>
          <cell r="G603">
            <v>200.04</v>
          </cell>
          <cell r="H603">
            <v>2400.8399999999997</v>
          </cell>
        </row>
        <row r="604">
          <cell r="A604" t="str">
            <v>Gbanju Aruwayo-Obe</v>
          </cell>
          <cell r="B604" t="str">
            <v>3/21/2023</v>
          </cell>
          <cell r="C604" t="str">
            <v>Zelle Transfer Conf# T0R4MSTJX; GBANJU ARUWAYO OBE</v>
          </cell>
          <cell r="D604" t="str">
            <v>100.06</v>
          </cell>
          <cell r="E604" t="str">
            <v>4408.7</v>
          </cell>
          <cell r="F604" t="str">
            <v>Gbanju Aruwayo-Obe</v>
          </cell>
          <cell r="G604">
            <v>100.06</v>
          </cell>
          <cell r="H604">
            <v>2821.3799999999992</v>
          </cell>
        </row>
        <row r="605">
          <cell r="A605" t="str">
            <v>Yinka Daramola</v>
          </cell>
          <cell r="B605" t="str">
            <v>3/21/2023</v>
          </cell>
          <cell r="C605" t="str">
            <v>Zelle Transfer Conf# r0009cWQD; AWOYINKA DARAMOLA</v>
          </cell>
          <cell r="D605" t="str">
            <v>50.07</v>
          </cell>
          <cell r="E605" t="str">
            <v>4458.77</v>
          </cell>
          <cell r="F605" t="str">
            <v>Yinka Daramola</v>
          </cell>
          <cell r="G605">
            <v>50.07</v>
          </cell>
          <cell r="H605">
            <v>2452.5199999999995</v>
          </cell>
        </row>
        <row r="606">
          <cell r="A606" t="str">
            <v>Taiwo Embassey</v>
          </cell>
          <cell r="B606" t="str">
            <v>3/22/2023</v>
          </cell>
          <cell r="C606" t="str">
            <v>Zelle payment from TAIWO EMBASSEY Conf# ivtkg19vn</v>
          </cell>
          <cell r="D606" t="str">
            <v>100</v>
          </cell>
          <cell r="E606" t="str">
            <v>4558.77</v>
          </cell>
          <cell r="F606" t="str">
            <v>Taiwo Embassey</v>
          </cell>
          <cell r="G606">
            <v>100</v>
          </cell>
          <cell r="H606">
            <v>508</v>
          </cell>
        </row>
        <row r="607">
          <cell r="A607" t="str">
            <v>Abraham Udom</v>
          </cell>
          <cell r="B607" t="str">
            <v>3/27/2023</v>
          </cell>
          <cell r="C607" t="str">
            <v>Zelle Transfer Conf# 01U99XMU8; ABRAHAM UDOM</v>
          </cell>
          <cell r="D607" t="str">
            <v>200.14</v>
          </cell>
          <cell r="E607" t="str">
            <v>4758.91</v>
          </cell>
          <cell r="F607" t="str">
            <v>Abraham Udom</v>
          </cell>
          <cell r="G607">
            <v>200.14</v>
          </cell>
          <cell r="H607">
            <v>900.28</v>
          </cell>
        </row>
        <row r="609">
          <cell r="A609" t="str">
            <v>Yinka Daramola</v>
          </cell>
          <cell r="B609" t="str">
            <v>4/3/2023</v>
          </cell>
          <cell r="C609" t="str">
            <v>Zelle Transfer Conf# G0009tLUR; AWOYINKA DARAMOLA</v>
          </cell>
          <cell r="D609" t="str">
            <v>50.07</v>
          </cell>
          <cell r="E609" t="str">
            <v>5809.03</v>
          </cell>
          <cell r="F609" t="str">
            <v>Yinka Daramola</v>
          </cell>
          <cell r="G609">
            <v>50.07</v>
          </cell>
          <cell r="H609">
            <v>2452.5199999999995</v>
          </cell>
        </row>
        <row r="610">
          <cell r="A610" t="str">
            <v>Yomi Salami</v>
          </cell>
          <cell r="B610" t="str">
            <v>4/3/2023</v>
          </cell>
          <cell r="C610" t="str">
            <v>NFCU ACH DES:P2P ID:SAHEED A SALAMI INDN:ASSURANCE INVESTMENT A CO ID:9000000021 WEB</v>
          </cell>
          <cell r="D610" t="str">
            <v>1000.05</v>
          </cell>
          <cell r="E610" t="str">
            <v>5758.96</v>
          </cell>
          <cell r="F610" t="str">
            <v>Yomi Salami</v>
          </cell>
          <cell r="G610">
            <v>1000.05</v>
          </cell>
          <cell r="H610">
            <v>5000.2000000000007</v>
          </cell>
        </row>
        <row r="611">
          <cell r="A611" t="str">
            <v>Olugbenga Shofela</v>
          </cell>
          <cell r="B611" t="str">
            <v>4/7/2023</v>
          </cell>
          <cell r="C611" t="str">
            <v>NFCU ACH DES:P2P ID:OLUGBENGA O SHO INDN:ASSURANCE INVESTMENT A CO ID:9000000021 WEB</v>
          </cell>
          <cell r="D611" t="str">
            <v>100</v>
          </cell>
          <cell r="E611" t="str">
            <v>5893.03</v>
          </cell>
          <cell r="F611" t="str">
            <v>Olugbenga Shofela</v>
          </cell>
          <cell r="G611">
            <v>100</v>
          </cell>
          <cell r="H611">
            <v>200</v>
          </cell>
        </row>
        <row r="612">
          <cell r="A612" t="str">
            <v>Adedayo Tolani</v>
          </cell>
          <cell r="B612" t="str">
            <v>4/10/2023</v>
          </cell>
          <cell r="C612" t="str">
            <v>Zelle payment from KAMORU TOLANI Conf# olpsif20h</v>
          </cell>
          <cell r="D612" t="str">
            <v>100.09</v>
          </cell>
          <cell r="E612" t="str">
            <v>5993.12</v>
          </cell>
          <cell r="F612" t="str">
            <v>Adedayo Tolani</v>
          </cell>
          <cell r="G612">
            <v>100.09</v>
          </cell>
          <cell r="H612">
            <v>4003.3300000000022</v>
          </cell>
        </row>
        <row r="613">
          <cell r="A613" t="str">
            <v>Yinka Daramola</v>
          </cell>
          <cell r="B613" t="str">
            <v>4/10/2023</v>
          </cell>
          <cell r="C613" t="str">
            <v>Zelle Transfer Conf# P0009AXXY; AWOYINKA DARAMOLA</v>
          </cell>
          <cell r="D613" t="str">
            <v>50.07</v>
          </cell>
          <cell r="E613" t="str">
            <v>6043.19</v>
          </cell>
          <cell r="F613" t="str">
            <v>Yinka Daramola</v>
          </cell>
          <cell r="G613">
            <v>50.07</v>
          </cell>
          <cell r="H613">
            <v>2452.5199999999995</v>
          </cell>
        </row>
        <row r="614">
          <cell r="A614" t="str">
            <v>Kelvin Amede</v>
          </cell>
          <cell r="B614">
            <v>45033</v>
          </cell>
          <cell r="C614" t="str">
            <v>Zelle Transfer Conf# 0HTSJHMI1; KELVIN AMEDE</v>
          </cell>
          <cell r="D614">
            <v>200</v>
          </cell>
          <cell r="E614">
            <v>6243.19</v>
          </cell>
          <cell r="F614" t="str">
            <v>Kelvin Amede</v>
          </cell>
          <cell r="G614">
            <v>200</v>
          </cell>
          <cell r="H614">
            <v>3400.06</v>
          </cell>
        </row>
        <row r="615">
          <cell r="A615" t="str">
            <v>Gbanju Aruwayo-Obe</v>
          </cell>
          <cell r="B615">
            <v>45043</v>
          </cell>
          <cell r="C615" t="str">
            <v>Zelle Transfer Conf# T0R76N3GS; GBANJU ARUWAYO OBE</v>
          </cell>
          <cell r="D615">
            <v>100</v>
          </cell>
          <cell r="E615">
            <v>6393.21</v>
          </cell>
          <cell r="F615" t="str">
            <v>Gbanju Aruwayo-Obe</v>
          </cell>
          <cell r="G615">
            <v>100</v>
          </cell>
          <cell r="H615">
            <v>2821.3799999999992</v>
          </cell>
        </row>
        <row r="616">
          <cell r="A616" t="str">
            <v>Clement Aribisala</v>
          </cell>
          <cell r="B616">
            <v>45033</v>
          </cell>
          <cell r="C616" t="str">
            <v>NFCU ACH DES:P2P ID:CLEMENT O ARIBI INDN:ASSURANCE INVESTMENT A CO ID:9000000011 WEB</v>
          </cell>
          <cell r="D616">
            <v>50.02</v>
          </cell>
          <cell r="E616">
            <v>6293.21</v>
          </cell>
          <cell r="F616" t="str">
            <v>Clement Aribisala</v>
          </cell>
          <cell r="G616">
            <v>50.02</v>
          </cell>
          <cell r="H616">
            <v>2700.7599999999998</v>
          </cell>
        </row>
        <row r="619">
          <cell r="A619" t="str">
            <v>Mutiu Saliu</v>
          </cell>
          <cell r="B619">
            <v>45047</v>
          </cell>
          <cell r="C619" t="str">
            <v>Zelle Transfer Conf# 0HU7QI60Q; MUTIU SALIU</v>
          </cell>
          <cell r="D619">
            <v>200.04</v>
          </cell>
          <cell r="E619">
            <v>6593.25</v>
          </cell>
          <cell r="F619" t="str">
            <v>Mutiu Saliu</v>
          </cell>
          <cell r="G619">
            <v>200.04</v>
          </cell>
          <cell r="H619">
            <v>2400.8399999999997</v>
          </cell>
        </row>
        <row r="620">
          <cell r="A620" t="str">
            <v>Taiwo Embassey</v>
          </cell>
          <cell r="B620">
            <v>45047</v>
          </cell>
          <cell r="C620" t="str">
            <v>Zelle payment from TAIWO EMBASSEY Conf# bsepescrb</v>
          </cell>
          <cell r="D620">
            <v>200</v>
          </cell>
          <cell r="E620">
            <v>6793.25</v>
          </cell>
          <cell r="F620" t="str">
            <v>Taiwo Embassey</v>
          </cell>
          <cell r="G620">
            <v>200</v>
          </cell>
          <cell r="H620">
            <v>508</v>
          </cell>
        </row>
        <row r="621">
          <cell r="A621" t="str">
            <v>Abraham Udom</v>
          </cell>
          <cell r="B621">
            <v>45047</v>
          </cell>
          <cell r="C621" t="str">
            <v>Zelle Transfer Conf# 0HU8QU4KG; ABRAHAM UDOM</v>
          </cell>
          <cell r="D621">
            <v>100.14</v>
          </cell>
          <cell r="E621">
            <v>6893.39</v>
          </cell>
          <cell r="F621" t="str">
            <v>Abraham Udom</v>
          </cell>
          <cell r="G621">
            <v>100.14</v>
          </cell>
          <cell r="H621">
            <v>900.28</v>
          </cell>
        </row>
        <row r="622">
          <cell r="A622" t="str">
            <v>Adedayo Tolani</v>
          </cell>
          <cell r="B622">
            <v>45047</v>
          </cell>
          <cell r="C622" t="str">
            <v>Zelle payment from KAMORU TOLANI Conf# p9ktbsi45</v>
          </cell>
          <cell r="D622">
            <v>100.09</v>
          </cell>
          <cell r="E622">
            <v>6993.48</v>
          </cell>
          <cell r="F622" t="str">
            <v>Adedayo Tolani</v>
          </cell>
          <cell r="G622">
            <v>100.09</v>
          </cell>
          <cell r="H622">
            <v>4003.3300000000022</v>
          </cell>
        </row>
        <row r="623">
          <cell r="A623" t="str">
            <v>Oluwabiyi Omotuyole</v>
          </cell>
          <cell r="B623">
            <v>45047</v>
          </cell>
          <cell r="C623" t="str">
            <v>Zelle payment from OLUWABIYI OMOTUYOLE Conf# hdvqik9a4</v>
          </cell>
          <cell r="D623">
            <v>50.13</v>
          </cell>
          <cell r="E623">
            <v>7043.61</v>
          </cell>
          <cell r="F623" t="str">
            <v>Oluwabiyi Omotuyole</v>
          </cell>
          <cell r="G623">
            <v>50.13</v>
          </cell>
          <cell r="H623">
            <v>3804.9400000000028</v>
          </cell>
        </row>
        <row r="624">
          <cell r="A624" t="str">
            <v>Lolu Adanri</v>
          </cell>
          <cell r="B624">
            <v>45048</v>
          </cell>
          <cell r="C624" t="str">
            <v>NFCU ACH DES:P2P ID:OMOLOLU V ADANR INDN:ASSURANCE INVESTMENT I CO ID:9000000021 WEB</v>
          </cell>
          <cell r="D624">
            <v>50.01</v>
          </cell>
          <cell r="E624">
            <v>7093.62</v>
          </cell>
          <cell r="F624" t="str">
            <v>Lolu Adanri</v>
          </cell>
          <cell r="G624">
            <v>50.01</v>
          </cell>
          <cell r="H624">
            <v>2356.04</v>
          </cell>
        </row>
        <row r="625">
          <cell r="A625" t="str">
            <v>Yomi Salami</v>
          </cell>
          <cell r="B625">
            <v>45049</v>
          </cell>
          <cell r="C625" t="str">
            <v>NFCU ACH DES:P2P ID:SAHEED A SALAMI INDN:ASSURANCE INVESTMENT A CO ID:9000000021 WEB</v>
          </cell>
          <cell r="D625">
            <v>1000.05</v>
          </cell>
          <cell r="E625">
            <v>8093.67</v>
          </cell>
          <cell r="F625" t="str">
            <v>Yomi Salami</v>
          </cell>
          <cell r="G625">
            <v>1000.05</v>
          </cell>
          <cell r="H625">
            <v>5000.2000000000007</v>
          </cell>
        </row>
        <row r="626">
          <cell r="A626" t="str">
            <v>Yinka Daramola</v>
          </cell>
          <cell r="B626">
            <v>45054</v>
          </cell>
          <cell r="C626" t="str">
            <v>Zelle Transfer Conf# B0009IkDv; AWOYINKA DARAMOLA</v>
          </cell>
          <cell r="D626">
            <v>50.07</v>
          </cell>
          <cell r="E626">
            <v>8143.74</v>
          </cell>
          <cell r="F626" t="str">
            <v>Yinka Daramola</v>
          </cell>
          <cell r="G626">
            <v>50.07</v>
          </cell>
          <cell r="H626">
            <v>2452.5199999999995</v>
          </cell>
        </row>
        <row r="627">
          <cell r="A627" t="str">
            <v>Oluwabiyi Omotuyole</v>
          </cell>
          <cell r="B627">
            <v>45058</v>
          </cell>
          <cell r="C627" t="str">
            <v>Zelle payment from OLUWABIYI OMOTUYOLE Conf# e3cbr9pid</v>
          </cell>
          <cell r="D627">
            <v>100.13</v>
          </cell>
          <cell r="E627">
            <v>8243.8700000000008</v>
          </cell>
          <cell r="F627" t="str">
            <v>Oluwabiyi Omotuyole</v>
          </cell>
          <cell r="G627">
            <v>100.13</v>
          </cell>
          <cell r="H627">
            <v>3804.9400000000028</v>
          </cell>
        </row>
        <row r="628">
          <cell r="A628" t="str">
            <v>Clement Aribisala</v>
          </cell>
          <cell r="B628">
            <v>45062</v>
          </cell>
          <cell r="C628" t="str">
            <v>NFCU ACH DES:P2P ID:CLEMENT O ARIBI INDN:ASSURANCE INVESTMENT A CO ID:9000000011 WEB</v>
          </cell>
          <cell r="D628">
            <v>50.02</v>
          </cell>
          <cell r="E628">
            <v>8293.89</v>
          </cell>
          <cell r="F628" t="str">
            <v>Clement Aribisala</v>
          </cell>
          <cell r="G628">
            <v>50.02</v>
          </cell>
          <cell r="H628">
            <v>2700.7599999999998</v>
          </cell>
        </row>
        <row r="629">
          <cell r="A629" t="str">
            <v>Gbanju Aruwayo-Obe</v>
          </cell>
          <cell r="B629">
            <v>45077</v>
          </cell>
          <cell r="C629" t="str">
            <v>Zelle Transfer Conf# T0R9L3GTD; GBANJU ARUWAYO OBE</v>
          </cell>
          <cell r="D629">
            <v>100.06</v>
          </cell>
          <cell r="E629">
            <v>8393.9500000000007</v>
          </cell>
          <cell r="F629" t="str">
            <v>Gbanju Aruwayo-Obe</v>
          </cell>
          <cell r="G629">
            <v>100.06</v>
          </cell>
          <cell r="H629">
            <v>2821.3799999999992</v>
          </cell>
        </row>
        <row r="631">
          <cell r="G631">
            <v>100.09</v>
          </cell>
        </row>
        <row r="632">
          <cell r="G632">
            <v>100.13</v>
          </cell>
        </row>
        <row r="633">
          <cell r="G633">
            <v>50.02</v>
          </cell>
        </row>
        <row r="634">
          <cell r="G634">
            <v>200.18</v>
          </cell>
        </row>
        <row r="635">
          <cell r="G635">
            <v>100.01</v>
          </cell>
        </row>
        <row r="636">
          <cell r="G636">
            <v>50.07</v>
          </cell>
        </row>
        <row r="637">
          <cell r="G637">
            <v>100.06</v>
          </cell>
        </row>
        <row r="640">
          <cell r="G640">
            <v>100.09</v>
          </cell>
          <cell r="H640">
            <v>4003.3300000000022</v>
          </cell>
        </row>
        <row r="641">
          <cell r="G641">
            <v>100.13</v>
          </cell>
          <cell r="H641">
            <v>3804.9400000000028</v>
          </cell>
        </row>
        <row r="643">
          <cell r="G643">
            <v>50.07</v>
          </cell>
        </row>
        <row r="644">
          <cell r="G644">
            <v>100.06</v>
          </cell>
        </row>
        <row r="645">
          <cell r="G645">
            <v>600</v>
          </cell>
        </row>
        <row r="646">
          <cell r="G646">
            <v>300</v>
          </cell>
        </row>
        <row r="647">
          <cell r="G647">
            <v>200.1</v>
          </cell>
        </row>
        <row r="650">
          <cell r="B650">
            <v>45139</v>
          </cell>
          <cell r="C650" t="str">
            <v>Beginning balance as of 08/01/2023</v>
          </cell>
          <cell r="E650">
            <v>10594.98</v>
          </cell>
        </row>
        <row r="651">
          <cell r="A651" t="str">
            <v>Oluwabiyi Omotuyole</v>
          </cell>
          <cell r="B651">
            <v>45149</v>
          </cell>
          <cell r="C651" t="str">
            <v>Zelle payment from OLUWABIYI OMOTUYOLE Conf# ejq9wol86</v>
          </cell>
          <cell r="D651">
            <v>100.13</v>
          </cell>
          <cell r="E651">
            <v>10695.11</v>
          </cell>
          <cell r="F651" t="str">
            <v>Oluwabiyi Omotuyole</v>
          </cell>
          <cell r="G651">
            <v>100.13</v>
          </cell>
          <cell r="H651">
            <v>3804.9400000000028</v>
          </cell>
        </row>
        <row r="652">
          <cell r="A652" t="str">
            <v>Gbanju Aruwayo-Obe</v>
          </cell>
          <cell r="B652">
            <v>45152</v>
          </cell>
          <cell r="C652" t="str">
            <v>Zelle Transfer Conf# T0RH54J4L; GBANJU ARUWAYO OBE</v>
          </cell>
          <cell r="D652">
            <v>100.06</v>
          </cell>
          <cell r="E652">
            <v>10795.17</v>
          </cell>
          <cell r="F652" t="str">
            <v>Gbanju Aruwayo-Obe</v>
          </cell>
          <cell r="G652">
            <v>100.06</v>
          </cell>
          <cell r="H652">
            <v>2821.3799999999992</v>
          </cell>
        </row>
        <row r="653">
          <cell r="A653" t="str">
            <v>Clement Aribisala</v>
          </cell>
          <cell r="B653">
            <v>45154</v>
          </cell>
          <cell r="C653" t="str">
            <v>NFCU ACH DES:P2P ID:CLEMENT O ARIBI INDN:ASSURANCE INVESTMENT A CO ID:9000000011 WEB</v>
          </cell>
          <cell r="D653">
            <v>50.02</v>
          </cell>
          <cell r="E653">
            <v>10845.19</v>
          </cell>
          <cell r="F653" t="str">
            <v>Clement Aribisala</v>
          </cell>
          <cell r="G653">
            <v>50.02</v>
          </cell>
          <cell r="H653">
            <v>2700.7599999999998</v>
          </cell>
        </row>
        <row r="654">
          <cell r="B654">
            <v>45166</v>
          </cell>
          <cell r="C654" t="str">
            <v>Customer Withdrawal Image</v>
          </cell>
          <cell r="D654">
            <v>-6500</v>
          </cell>
          <cell r="E654">
            <v>4345.1899999999996</v>
          </cell>
        </row>
        <row r="655">
          <cell r="A655" t="str">
            <v>Lolu Adanri</v>
          </cell>
          <cell r="B655">
            <v>45168</v>
          </cell>
          <cell r="C655" t="str">
            <v>NFCU ACH DES:P2P ID:OMOLOLU V ADANR INDN:ASSURANCE INVESTMENT I CO ID:9000000021 WEB</v>
          </cell>
          <cell r="D655">
            <v>100</v>
          </cell>
          <cell r="E655">
            <v>4445.1899999999996</v>
          </cell>
          <cell r="F655" t="str">
            <v>Lolu Adanri</v>
          </cell>
          <cell r="G655">
            <v>100</v>
          </cell>
          <cell r="H655">
            <v>2356.04</v>
          </cell>
        </row>
        <row r="682">
          <cell r="B682">
            <v>45231</v>
          </cell>
          <cell r="C682" t="str">
            <v>Beginning balance as of 11/01/2023</v>
          </cell>
          <cell r="E682">
            <v>5364.99</v>
          </cell>
        </row>
        <row r="683">
          <cell r="A683" t="str">
            <v>Yinka Daramola</v>
          </cell>
          <cell r="B683">
            <v>45237</v>
          </cell>
          <cell r="C683" t="str">
            <v>Zelle payment from AWOYINKA DARAMOLA Conf# owwj5jazc</v>
          </cell>
          <cell r="D683">
            <v>150.07</v>
          </cell>
          <cell r="E683">
            <v>5515.06</v>
          </cell>
          <cell r="F683" t="str">
            <v>Yinka Daramola</v>
          </cell>
          <cell r="G683">
            <v>150.07</v>
          </cell>
          <cell r="H683">
            <v>2452.5199999999995</v>
          </cell>
        </row>
        <row r="684">
          <cell r="A684" t="str">
            <v>Adedayo Tolani</v>
          </cell>
          <cell r="B684">
            <v>45239</v>
          </cell>
          <cell r="C684" t="str">
            <v>Zelle payment from KAMORU TOLANI Conf# qdbhvkjk8</v>
          </cell>
          <cell r="D684">
            <v>100.09</v>
          </cell>
          <cell r="E684">
            <v>5615.15</v>
          </cell>
          <cell r="F684" t="str">
            <v>Adedayo Tolani</v>
          </cell>
          <cell r="G684">
            <v>100.09</v>
          </cell>
          <cell r="H684">
            <v>4003.3300000000022</v>
          </cell>
        </row>
        <row r="685">
          <cell r="A685" t="str">
            <v>Oluwabiyi Omotuyole</v>
          </cell>
          <cell r="B685">
            <v>45240</v>
          </cell>
          <cell r="C685" t="str">
            <v>Zelle payment from OLUWABIYI OMOTUYOLE Conf# if1lo91v9</v>
          </cell>
          <cell r="D685">
            <v>100.13</v>
          </cell>
          <cell r="E685">
            <v>5715.28</v>
          </cell>
          <cell r="F685" t="str">
            <v>Oluwabiyi Omotuyole</v>
          </cell>
          <cell r="G685">
            <v>100.13</v>
          </cell>
          <cell r="H685">
            <v>3804.9400000000028</v>
          </cell>
        </row>
        <row r="686">
          <cell r="A686" t="str">
            <v>Clement Aribisala</v>
          </cell>
          <cell r="B686">
            <v>45246</v>
          </cell>
          <cell r="C686" t="str">
            <v>NFCU ACH DES:P2P ID:CLEMENT O ARIBI INDN:ASSURANCE INVESTMENT A CO ID:9000000011 WEB</v>
          </cell>
          <cell r="D686">
            <v>50.02</v>
          </cell>
          <cell r="E686">
            <v>5765.3</v>
          </cell>
          <cell r="F686" t="str">
            <v>Clement Aribisala</v>
          </cell>
          <cell r="G686">
            <v>50.02</v>
          </cell>
          <cell r="H686">
            <v>2700.7599999999998</v>
          </cell>
        </row>
        <row r="690">
          <cell r="G690">
            <v>100</v>
          </cell>
          <cell r="H690">
            <v>2356.04</v>
          </cell>
        </row>
        <row r="691">
          <cell r="G691">
            <v>100.09</v>
          </cell>
        </row>
        <row r="692">
          <cell r="G692">
            <v>50.07</v>
          </cell>
        </row>
        <row r="693">
          <cell r="G693">
            <v>100.13</v>
          </cell>
        </row>
        <row r="694">
          <cell r="G694">
            <v>150</v>
          </cell>
          <cell r="H694">
            <v>3400.06</v>
          </cell>
        </row>
        <row r="695">
          <cell r="G695">
            <v>50.02</v>
          </cell>
        </row>
        <row r="696">
          <cell r="G696">
            <v>100</v>
          </cell>
        </row>
        <row r="697">
          <cell r="G697">
            <v>100.09</v>
          </cell>
        </row>
        <row r="700">
          <cell r="G700">
            <v>100</v>
          </cell>
        </row>
        <row r="702">
          <cell r="G702">
            <v>200</v>
          </cell>
        </row>
        <row r="709">
          <cell r="G709">
            <v>100.13</v>
          </cell>
        </row>
        <row r="710">
          <cell r="G710">
            <v>150</v>
          </cell>
        </row>
        <row r="711">
          <cell r="H711">
            <v>350</v>
          </cell>
        </row>
        <row r="712">
          <cell r="G712">
            <v>50.02</v>
          </cell>
        </row>
        <row r="713">
          <cell r="G713">
            <v>50.07</v>
          </cell>
        </row>
        <row r="715">
          <cell r="G715">
            <v>100.06</v>
          </cell>
        </row>
        <row r="742">
          <cell r="G742">
            <v>100.09</v>
          </cell>
        </row>
        <row r="748">
          <cell r="G748">
            <v>100</v>
          </cell>
        </row>
        <row r="749">
          <cell r="G749">
            <v>50.02</v>
          </cell>
        </row>
        <row r="750">
          <cell r="G750">
            <v>200</v>
          </cell>
        </row>
        <row r="751">
          <cell r="G751">
            <v>50.07</v>
          </cell>
        </row>
      </sheetData>
      <sheetData sheetId="18"/>
      <sheetData sheetId="19">
        <row r="25">
          <cell r="C25">
            <v>196.81999999999971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6"/>
      <sheetData sheetId="37"/>
      <sheetData sheetId="38"/>
      <sheetData sheetId="39"/>
      <sheetData sheetId="40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M3">
            <v>100.09</v>
          </cell>
          <cell r="N3">
            <v>100.09</v>
          </cell>
        </row>
        <row r="4">
          <cell r="M4">
            <v>50.02</v>
          </cell>
          <cell r="N4">
            <v>50.02</v>
          </cell>
        </row>
        <row r="5">
          <cell r="M5">
            <v>100.06</v>
          </cell>
          <cell r="N5">
            <v>100.06</v>
          </cell>
        </row>
        <row r="7">
          <cell r="N7">
            <v>300</v>
          </cell>
        </row>
        <row r="8">
          <cell r="M8">
            <v>200.08</v>
          </cell>
        </row>
        <row r="10">
          <cell r="M10">
            <v>100.13</v>
          </cell>
          <cell r="N10">
            <v>100.13</v>
          </cell>
        </row>
        <row r="12">
          <cell r="M12">
            <v>100.07</v>
          </cell>
        </row>
        <row r="13">
          <cell r="B13">
            <v>4200.2000000000007</v>
          </cell>
          <cell r="N13">
            <v>100.05</v>
          </cell>
        </row>
      </sheetData>
      <sheetData sheetId="5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BF33-2645-4AC1-AC77-2D1B8D6E3F7D}">
  <dimension ref="A1:BF31"/>
  <sheetViews>
    <sheetView tabSelected="1" zoomScale="128" workbookViewId="0">
      <pane xSplit="1" topLeftCell="B1" activePane="topRight" state="frozen"/>
      <selection pane="topRight" activeCell="A4" sqref="A4"/>
    </sheetView>
  </sheetViews>
  <sheetFormatPr defaultRowHeight="14.4" x14ac:dyDescent="0.3"/>
  <cols>
    <col min="1" max="1" width="51.21875" bestFit="1" customWidth="1"/>
    <col min="2" max="2" width="14.6640625" style="1" bestFit="1" customWidth="1"/>
    <col min="3" max="3" width="20.44140625" style="1" bestFit="1" customWidth="1"/>
    <col min="4" max="4" width="16.6640625" style="1" bestFit="1" customWidth="1"/>
    <col min="5" max="5" width="19.6640625" style="1" bestFit="1" customWidth="1"/>
    <col min="6" max="6" width="12.88671875" bestFit="1" customWidth="1"/>
    <col min="7" max="7" width="10.77734375" bestFit="1" customWidth="1"/>
    <col min="8" max="8" width="11" bestFit="1" customWidth="1"/>
    <col min="9" max="9" width="17.21875" bestFit="1" customWidth="1"/>
    <col min="10" max="10" width="20" bestFit="1" customWidth="1"/>
    <col min="11" max="11" width="15.109375" bestFit="1" customWidth="1"/>
    <col min="12" max="12" width="14.44140625" bestFit="1" customWidth="1"/>
    <col min="13" max="13" width="11.33203125" bestFit="1" customWidth="1"/>
    <col min="14" max="14" width="14.88671875" bestFit="1" customWidth="1"/>
    <col min="15" max="15" width="16.33203125" style="1" bestFit="1" customWidth="1"/>
    <col min="16" max="16" width="14.33203125" bestFit="1" customWidth="1"/>
    <col min="17" max="17" width="12.21875" bestFit="1" customWidth="1"/>
    <col min="18" max="18" width="13.88671875" bestFit="1" customWidth="1"/>
    <col min="19" max="19" width="12.109375" bestFit="1" customWidth="1"/>
    <col min="20" max="20" width="11.33203125" bestFit="1" customWidth="1"/>
    <col min="21" max="21" width="22.33203125" bestFit="1" customWidth="1"/>
    <col min="22" max="22" width="12.21875" bestFit="1" customWidth="1"/>
    <col min="23" max="23" width="21.109375" bestFit="1" customWidth="1"/>
    <col min="24" max="24" width="15.6640625" bestFit="1" customWidth="1"/>
    <col min="25" max="25" width="9.88671875" bestFit="1" customWidth="1"/>
    <col min="26" max="26" width="10.5546875" bestFit="1" customWidth="1"/>
    <col min="27" max="27" width="9.33203125" bestFit="1" customWidth="1"/>
    <col min="28" max="28" width="10.109375" bestFit="1" customWidth="1"/>
    <col min="29" max="34" width="9.88671875" bestFit="1" customWidth="1"/>
    <col min="35" max="37" width="9.44140625" bestFit="1" customWidth="1"/>
    <col min="38" max="38" width="10.33203125" bestFit="1" customWidth="1"/>
    <col min="39" max="39" width="9.44140625" bestFit="1" customWidth="1"/>
    <col min="40" max="40" width="10" bestFit="1" customWidth="1"/>
    <col min="41" max="41" width="9.77734375" bestFit="1" customWidth="1"/>
    <col min="42" max="43" width="9.77734375" customWidth="1"/>
    <col min="44" max="44" width="22.21875" bestFit="1" customWidth="1"/>
    <col min="45" max="55" width="9.77734375" customWidth="1"/>
    <col min="56" max="56" width="19.109375" bestFit="1" customWidth="1"/>
    <col min="57" max="57" width="10.109375" bestFit="1" customWidth="1"/>
    <col min="58" max="58" width="12.21875" bestFit="1" customWidth="1"/>
  </cols>
  <sheetData>
    <row r="1" spans="1:58" x14ac:dyDescent="0.3">
      <c r="E1" s="2" t="s">
        <v>0</v>
      </c>
      <c r="F1" s="3">
        <v>2023</v>
      </c>
      <c r="G1" s="3">
        <v>2023</v>
      </c>
      <c r="H1" s="3">
        <v>2023</v>
      </c>
      <c r="I1" s="3">
        <v>2023</v>
      </c>
      <c r="J1" s="3">
        <v>2023</v>
      </c>
      <c r="K1" s="3">
        <v>2023</v>
      </c>
      <c r="L1" s="3">
        <v>2023</v>
      </c>
      <c r="M1" s="3">
        <v>2023</v>
      </c>
      <c r="N1" s="3">
        <v>2023</v>
      </c>
      <c r="O1" s="3">
        <v>2023</v>
      </c>
      <c r="P1" s="3">
        <v>2023</v>
      </c>
      <c r="Q1" s="3">
        <v>2023</v>
      </c>
      <c r="R1" s="3">
        <v>2024</v>
      </c>
      <c r="S1" s="3">
        <v>2024</v>
      </c>
      <c r="T1" s="3">
        <v>2024</v>
      </c>
      <c r="U1" s="3">
        <v>2024</v>
      </c>
      <c r="V1" s="3">
        <v>2024</v>
      </c>
      <c r="W1" s="3">
        <v>2024</v>
      </c>
      <c r="X1" s="3">
        <v>2024</v>
      </c>
      <c r="Y1" s="3">
        <v>2024</v>
      </c>
      <c r="Z1" s="3">
        <v>2024</v>
      </c>
      <c r="AA1" s="3">
        <v>2024</v>
      </c>
      <c r="AB1" s="3">
        <v>2024</v>
      </c>
      <c r="AC1" s="3">
        <v>2024</v>
      </c>
      <c r="AD1" s="3">
        <v>2025</v>
      </c>
      <c r="AE1" s="3">
        <v>2025</v>
      </c>
      <c r="AF1" s="3">
        <v>2025</v>
      </c>
      <c r="AG1" s="3">
        <v>2025</v>
      </c>
      <c r="AH1" s="3">
        <v>2025</v>
      </c>
      <c r="AI1" s="3">
        <v>2025</v>
      </c>
      <c r="AJ1" s="3">
        <v>2025</v>
      </c>
      <c r="AK1" s="3">
        <v>2025</v>
      </c>
      <c r="AL1" s="3">
        <v>2025</v>
      </c>
      <c r="AM1" s="3">
        <v>2025</v>
      </c>
      <c r="AN1" s="3">
        <v>2025</v>
      </c>
      <c r="AO1" s="3">
        <v>2025</v>
      </c>
      <c r="AP1" s="3">
        <v>2026</v>
      </c>
      <c r="AQ1" s="3">
        <v>2026</v>
      </c>
      <c r="AR1" s="3">
        <v>2026</v>
      </c>
      <c r="AS1" s="3">
        <v>2026</v>
      </c>
      <c r="AT1" s="3">
        <v>2026</v>
      </c>
      <c r="AU1" s="3">
        <v>2026</v>
      </c>
      <c r="AV1" s="3">
        <v>2026</v>
      </c>
      <c r="AW1" s="3">
        <v>2026</v>
      </c>
      <c r="AX1" s="3">
        <v>2026</v>
      </c>
      <c r="AY1" s="3">
        <v>2026</v>
      </c>
      <c r="AZ1" s="3">
        <v>2026</v>
      </c>
      <c r="BA1" s="3">
        <v>2026</v>
      </c>
      <c r="BB1" s="3">
        <v>2026</v>
      </c>
    </row>
    <row r="2" spans="1:58" s="3" customFormat="1" x14ac:dyDescent="0.3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4" t="s">
        <v>16</v>
      </c>
      <c r="Q2" s="4" t="s">
        <v>17</v>
      </c>
      <c r="R2" s="4" t="s">
        <v>6</v>
      </c>
      <c r="S2" s="4" t="s">
        <v>7</v>
      </c>
      <c r="T2" s="4" t="s">
        <v>8</v>
      </c>
      <c r="U2" s="4" t="s">
        <v>9</v>
      </c>
      <c r="V2" s="4" t="s">
        <v>10</v>
      </c>
      <c r="W2" s="4" t="s">
        <v>11</v>
      </c>
      <c r="X2" s="4" t="s">
        <v>12</v>
      </c>
      <c r="Y2" s="4" t="s">
        <v>13</v>
      </c>
      <c r="Z2" s="4" t="s">
        <v>14</v>
      </c>
      <c r="AA2" s="4" t="s">
        <v>15</v>
      </c>
      <c r="AB2" s="4" t="s">
        <v>16</v>
      </c>
      <c r="AC2" s="4" t="s">
        <v>17</v>
      </c>
      <c r="AD2" s="4" t="s">
        <v>6</v>
      </c>
      <c r="AE2" s="4" t="s">
        <v>7</v>
      </c>
      <c r="AF2" s="4" t="s">
        <v>8</v>
      </c>
      <c r="AG2" s="4" t="s">
        <v>9</v>
      </c>
      <c r="AH2" s="4" t="s">
        <v>10</v>
      </c>
      <c r="AI2" s="4" t="s">
        <v>11</v>
      </c>
      <c r="AJ2" s="4" t="s">
        <v>12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6</v>
      </c>
      <c r="AQ2" s="4" t="s">
        <v>7</v>
      </c>
      <c r="AR2" s="4" t="s">
        <v>18</v>
      </c>
      <c r="AS2" s="4" t="s">
        <v>8</v>
      </c>
      <c r="AT2" s="4" t="s">
        <v>9</v>
      </c>
      <c r="AU2" s="4" t="s">
        <v>10</v>
      </c>
      <c r="AV2" s="4" t="s">
        <v>11</v>
      </c>
      <c r="AW2" s="4" t="s">
        <v>12</v>
      </c>
      <c r="AX2" s="4" t="s">
        <v>13</v>
      </c>
      <c r="AY2" s="4" t="s">
        <v>14</v>
      </c>
      <c r="AZ2" s="4" t="s">
        <v>15</v>
      </c>
      <c r="BA2" s="4" t="s">
        <v>16</v>
      </c>
      <c r="BB2" s="4" t="s">
        <v>17</v>
      </c>
      <c r="BC2" s="4"/>
      <c r="BD2" s="4" t="s">
        <v>19</v>
      </c>
      <c r="BF2" s="3" t="s">
        <v>20</v>
      </c>
    </row>
    <row r="3" spans="1:58" x14ac:dyDescent="0.3">
      <c r="A3" t="s">
        <v>21</v>
      </c>
      <c r="B3" s="1">
        <v>900.28</v>
      </c>
      <c r="C3" s="1">
        <v>-100</v>
      </c>
      <c r="D3" s="7">
        <f>C3+B3</f>
        <v>800.28</v>
      </c>
      <c r="E3" s="7"/>
      <c r="F3" s="1"/>
      <c r="G3" s="1">
        <f>IF(ISNA(VLOOKUP(A3,'[1]Sheet1 (2)'!A$588:$H$593,7,FALSE)),0,VLOOKUP(A3,'[1]Sheet1 (2)'!A$588:$H$593,7,FALSE))</f>
        <v>0</v>
      </c>
      <c r="H3" s="1">
        <f>IF(ISNA(VLOOKUP(A3,'[1]Sheet1 (2)'!$A$595:$H$607,7,FALSE)),0,(VLOOKUP(A3,'[1]Sheet1 (2)'!$A$595:$H$607,7,FALSE)))</f>
        <v>200.14</v>
      </c>
      <c r="I3" s="1">
        <f>IF(ISNA(VLOOKUP(A3,'[1]Sheet1 (2)'!$A$609:$H$616,7,FALSE)),0,VLOOKUP(A3,'[1]Sheet1 (2)'!$A$609:$H$616,7,FALSE))</f>
        <v>0</v>
      </c>
      <c r="J3" s="1">
        <f>IF(ISNA(VLOOKUP(A3,'[1]Sheet1 (2)'!$A$619:$H$630,7,FALSE)),0,VLOOKUP(A3,'[1]Sheet1 (2)'!$A$619:$H$630,7,FALSE))</f>
        <v>100.14</v>
      </c>
      <c r="K3" s="1"/>
      <c r="L3" s="1">
        <f>'[1]Sheet1 (2)'!G645</f>
        <v>600</v>
      </c>
      <c r="M3" s="1">
        <f>IF(ISNA(VLOOKUP(A3,'[1]Sheet1 (2)'!$A$650:$H$655,7,FALSE)),0,VLOOKUP(A3,'[1]Sheet1 (2)'!$A$650:$H$655,7,FALSE))</f>
        <v>0</v>
      </c>
      <c r="N3" s="1">
        <f>[1]Sheet2!M2</f>
        <v>0</v>
      </c>
      <c r="O3" s="1">
        <f>[1]Sheet2!N2</f>
        <v>0</v>
      </c>
      <c r="P3" s="1">
        <f>IF(ISNA(VLOOKUP(A3,'[1]Sheet1 (2)'!$A$682:$H$686,7,FALSE)),0,VLOOKUP(A3,'[1]Sheet1 (2)'!$A$682:$H$686,7,FALSE))</f>
        <v>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>
        <v>0</v>
      </c>
      <c r="AG3" s="1"/>
      <c r="AH3" s="1"/>
      <c r="AI3" s="1"/>
      <c r="AJ3" s="1"/>
      <c r="AK3" s="1"/>
      <c r="AL3" s="1">
        <v>0</v>
      </c>
      <c r="AM3" s="1">
        <v>0</v>
      </c>
      <c r="AN3" s="1"/>
      <c r="AO3" s="1"/>
      <c r="AP3" s="1">
        <v>0</v>
      </c>
      <c r="AQ3" s="1">
        <v>0</v>
      </c>
      <c r="AR3" s="8">
        <v>29.172183400166453</v>
      </c>
      <c r="AS3" s="1">
        <v>0</v>
      </c>
      <c r="AT3" s="1">
        <v>0</v>
      </c>
      <c r="AU3" s="1"/>
      <c r="AV3" s="1"/>
      <c r="AW3" s="1"/>
      <c r="AX3" s="1"/>
      <c r="AY3" s="1"/>
      <c r="AZ3" s="1"/>
      <c r="BA3" s="1"/>
      <c r="BB3" s="1"/>
      <c r="BC3" s="1"/>
      <c r="BD3" s="9">
        <f t="shared" ref="BD3:BD12" si="0">SUM(F3:BC3)</f>
        <v>929.4521834001664</v>
      </c>
      <c r="BE3" s="9">
        <f t="shared" ref="BE3:BE26" si="1">BD3-B3</f>
        <v>29.172183400166432</v>
      </c>
      <c r="BF3" s="9">
        <f t="shared" ref="BF3:BF26" si="2">SUM(F3:AC3)</f>
        <v>900.28</v>
      </c>
    </row>
    <row r="4" spans="1:58" x14ac:dyDescent="0.3">
      <c r="A4" s="10" t="s">
        <v>22</v>
      </c>
      <c r="B4" s="1">
        <f>'[1]Sheet1 (2)'!H640</f>
        <v>4003.3300000000022</v>
      </c>
      <c r="C4" s="1">
        <v>-100</v>
      </c>
      <c r="D4" s="7">
        <f t="shared" ref="D4:D26" si="3">C4+B4</f>
        <v>3903.3300000000022</v>
      </c>
      <c r="E4" s="7"/>
      <c r="F4" s="1"/>
      <c r="G4" s="1">
        <f>IF(ISNA(VLOOKUP(A4,'[1]Sheet1 (2)'!A$588:$H$593,7,FALSE)),0,VLOOKUP(A4,'[1]Sheet1 (2)'!A$588:$H$593,7,FALSE))</f>
        <v>200.09</v>
      </c>
      <c r="H4" s="1">
        <f>IF(ISNA(VLOOKUP(A4,'[1]Sheet1 (2)'!$A$595:$H$607,7,FALSE)),0,(VLOOKUP(A4,'[1]Sheet1 (2)'!$A$595:$H$607,7,FALSE)))</f>
        <v>100.09</v>
      </c>
      <c r="I4" s="1">
        <f>IF(ISNA(VLOOKUP(A4,'[1]Sheet1 (2)'!$A$609:$H$616,7,FALSE)),0,VLOOKUP(A4,'[1]Sheet1 (2)'!$A$609:$H$616,7,FALSE))</f>
        <v>100.09</v>
      </c>
      <c r="J4" s="1">
        <f>IF(ISNA(VLOOKUP(A4,'[1]Sheet1 (2)'!$A$619:$H$630,7,FALSE)),0,VLOOKUP(A4,'[1]Sheet1 (2)'!$A$619:$H$630,7,FALSE))</f>
        <v>100.09</v>
      </c>
      <c r="K4" s="1">
        <f>'[1]Sheet1 (2)'!G631</f>
        <v>100.09</v>
      </c>
      <c r="L4" s="1">
        <f>'[1]Sheet1 (2)'!G640</f>
        <v>100.09</v>
      </c>
      <c r="M4" s="1">
        <f>IF(ISNA(VLOOKUP(A4,'[1]Sheet1 (2)'!$A$650:$H$655,7,FALSE)),0,VLOOKUP(A4,'[1]Sheet1 (2)'!$A$650:$H$655,7,FALSE))</f>
        <v>0</v>
      </c>
      <c r="N4" s="1">
        <f>[1]Sheet2!M3</f>
        <v>100.09</v>
      </c>
      <c r="O4" s="1">
        <f>[1]Sheet2!N3</f>
        <v>100.09</v>
      </c>
      <c r="P4" s="1">
        <f>IF(ISNA(VLOOKUP($A$4,'[1]Sheet1 (2)'!$A$682:$H$686,7,FALSE)),0,VLOOKUP($A$4,'[1]Sheet1 (2)'!$A$682:$H$686,7,FALSE))</f>
        <v>100.09</v>
      </c>
      <c r="Q4" s="1">
        <f>'[1]Sheet1 (2)'!G691+'[1]Sheet1 (2)'!G697</f>
        <v>200.18</v>
      </c>
      <c r="R4" s="1"/>
      <c r="S4" s="1">
        <f>'[1]Sheet1 (2)'!G100+'[1]Sheet1 (2)'!G107</f>
        <v>200.18</v>
      </c>
      <c r="T4" s="1"/>
      <c r="U4" s="1">
        <f>'[1]Sheet1 (2)'!G100</f>
        <v>100.09</v>
      </c>
      <c r="V4" s="1">
        <f>'[1]Sheet1 (2)'!G124+'[1]Sheet1 (2)'!G742</f>
        <v>200.18</v>
      </c>
      <c r="W4" s="1"/>
      <c r="X4" s="1">
        <f>'[1]Sheet1 (2)'!G142+'[1]Sheet1 (2)'!G149</f>
        <v>200</v>
      </c>
      <c r="Y4" s="1">
        <f>'[1]Sheet1 (2)'!G158</f>
        <v>100.09</v>
      </c>
      <c r="Z4" s="1">
        <f>'[1]Sheet1 (2)'!D166</f>
        <v>100.09</v>
      </c>
      <c r="AA4" s="1">
        <f>'[1]Sheet1 (2)'!G174</f>
        <v>100.09</v>
      </c>
      <c r="AB4" s="1">
        <f>'[1]Sheet1 (2)'!G185</f>
        <v>100.09</v>
      </c>
      <c r="AC4" s="1">
        <f>'[1]Sheet1 (2)'!D203</f>
        <v>100.09</v>
      </c>
      <c r="AD4" s="1">
        <f>'[1]Sheet1 (2)'!G214</f>
        <v>100.09</v>
      </c>
      <c r="AE4" s="1">
        <f>'[1]Sheet1 (2)'!G236</f>
        <v>100.09</v>
      </c>
      <c r="AF4" s="1">
        <f>'[1]Sheet1 (2)'!G259</f>
        <v>100.09</v>
      </c>
      <c r="AG4" s="1">
        <f>'[1]Sheet1 (2)'!G276</f>
        <v>100.09</v>
      </c>
      <c r="AH4" s="1">
        <f>'[1]Sheet1 (2)'!G290</f>
        <v>100.09</v>
      </c>
      <c r="AI4" s="1">
        <f>'[1]Sheet1 (2)'!G308</f>
        <v>100.09</v>
      </c>
      <c r="AJ4" s="1">
        <f>'[1]Sheet1 (2)'!G327</f>
        <v>100.09</v>
      </c>
      <c r="AK4" s="1">
        <f>'[1]Sheet1 (2)'!G350</f>
        <v>100.09</v>
      </c>
      <c r="AL4" s="1">
        <f>'[1]Sheet1 (2)'!G369</f>
        <v>100.09</v>
      </c>
      <c r="AM4" s="1">
        <f>'[1]Sheet1 (2)'!G386</f>
        <v>100.09</v>
      </c>
      <c r="AN4" s="1">
        <f>'[1]Sheet1 (2)'!G405</f>
        <v>100.09</v>
      </c>
      <c r="AO4" s="1">
        <f>'[1]Sheet1 (2)'!G417</f>
        <v>100.09</v>
      </c>
      <c r="AP4" s="1">
        <f>'[1]Sheet1 (2)'!G432</f>
        <v>100.09</v>
      </c>
      <c r="AQ4" s="1">
        <v>0</v>
      </c>
      <c r="AR4" s="8">
        <v>131.34043974834285</v>
      </c>
      <c r="AS4" s="1">
        <f>'[1]Sheet1 (2)'!G452+'[1]Sheet1 (2)'!G467</f>
        <v>200.18</v>
      </c>
      <c r="AT4" s="1">
        <f>'[1]Sheet1 (2)'!G485</f>
        <v>100.09</v>
      </c>
      <c r="AU4" s="1"/>
      <c r="AV4" s="1"/>
      <c r="AW4" s="1"/>
      <c r="AX4" s="1"/>
      <c r="AY4" s="1"/>
      <c r="AZ4" s="1"/>
      <c r="BA4" s="1"/>
      <c r="BB4" s="1"/>
      <c r="BC4" s="1"/>
      <c r="BD4" s="9">
        <f t="shared" si="0"/>
        <v>4134.6704397483454</v>
      </c>
      <c r="BE4" s="9">
        <f t="shared" si="1"/>
        <v>131.34043974834321</v>
      </c>
      <c r="BF4" s="9">
        <f t="shared" si="2"/>
        <v>2401.8900000000008</v>
      </c>
    </row>
    <row r="5" spans="1:58" x14ac:dyDescent="0.3">
      <c r="A5" s="10" t="s">
        <v>23</v>
      </c>
      <c r="B5" s="1">
        <f>'[1]Sheet1 (2)'!H53</f>
        <v>2700.7599999999998</v>
      </c>
      <c r="C5" s="1">
        <v>-100</v>
      </c>
      <c r="D5" s="7">
        <f t="shared" si="3"/>
        <v>2600.7599999999998</v>
      </c>
      <c r="E5" s="7"/>
      <c r="F5" s="1"/>
      <c r="G5" s="1">
        <f>IF(ISNA(VLOOKUP(A5,'[1]Sheet1 (2)'!A$588:$H$593,7,FALSE)),0,VLOOKUP(A5,'[1]Sheet1 (2)'!A$588:$H$593,7,FALSE))</f>
        <v>150</v>
      </c>
      <c r="H5" s="1">
        <f>IF(ISNA(VLOOKUP(A5,'[1]Sheet1 (2)'!$A$595:$H$607,7,FALSE)),0,(VLOOKUP(A5,'[1]Sheet1 (2)'!$A$595:$H$607,7,FALSE)))</f>
        <v>50.02</v>
      </c>
      <c r="I5" s="1">
        <f>IF(ISNA(VLOOKUP(A5,'[1]Sheet1 (2)'!$A$609:$H$616,7,FALSE)),0,VLOOKUP(A5,'[1]Sheet1 (2)'!$A$609:$H$616,7,FALSE))</f>
        <v>50.02</v>
      </c>
      <c r="J5" s="1">
        <f>IF(ISNA(VLOOKUP(A5,'[1]Sheet1 (2)'!$A$619:$H$630,7,FALSE)),0,VLOOKUP(A5,'[1]Sheet1 (2)'!$A$619:$H$630,7,FALSE))</f>
        <v>50.02</v>
      </c>
      <c r="K5" s="1">
        <f>'[1]Sheet1 (2)'!G633</f>
        <v>50.02</v>
      </c>
      <c r="L5" s="1">
        <f>'[1]Sheet1 (2)'!G53</f>
        <v>50.02</v>
      </c>
      <c r="M5" s="1">
        <f>IF(ISNA(VLOOKUP(A5,'[1]Sheet1 (2)'!$A$650:$H$655,7,FALSE)),0,VLOOKUP(A5,'[1]Sheet1 (2)'!$A$650:$H$655,7,FALSE))</f>
        <v>50.02</v>
      </c>
      <c r="N5" s="1">
        <f>[1]Sheet2!M4</f>
        <v>50.02</v>
      </c>
      <c r="O5" s="1">
        <f>[1]Sheet2!N4</f>
        <v>50.02</v>
      </c>
      <c r="P5" s="1">
        <f>IF(ISNA(VLOOKUP(A5,'[1]Sheet1 (2)'!$A$682:$H$686,7,FALSE)),0,VLOOKUP(A5,'[1]Sheet1 (2)'!$A$682:$H$686,7,FALSE))</f>
        <v>50.02</v>
      </c>
      <c r="Q5" s="1">
        <f>'[1]Sheet1 (2)'!G695</f>
        <v>50.02</v>
      </c>
      <c r="R5" s="1">
        <f>'[1]Sheet1 (2)'!G712</f>
        <v>50.02</v>
      </c>
      <c r="S5" s="1">
        <f>'[1]Sheet1 (2)'!G104</f>
        <v>50.02</v>
      </c>
      <c r="T5" s="1">
        <f>'[1]Sheet1 (2)'!G104</f>
        <v>50.02</v>
      </c>
      <c r="U5" s="1">
        <f>'[1]Sheet1 (2)'!G120</f>
        <v>50.02</v>
      </c>
      <c r="V5" s="1">
        <f>'[1]Sheet1 (2)'!G749</f>
        <v>50.02</v>
      </c>
      <c r="W5" s="1">
        <f>'[1]Sheet1 (2)'!G139</f>
        <v>50.02</v>
      </c>
      <c r="X5" s="1">
        <f>'[1]Sheet1 (2)'!G146</f>
        <v>50.02</v>
      </c>
      <c r="Y5" s="1">
        <f>'[1]Sheet1 (2)'!G154</f>
        <v>50.02</v>
      </c>
      <c r="Z5" s="1">
        <f>'[1]Sheet1 (2)'!D163</f>
        <v>50.02</v>
      </c>
      <c r="AA5" s="1">
        <f>'[1]Sheet1 (2)'!G172</f>
        <v>50.02</v>
      </c>
      <c r="AB5" s="1">
        <f>'[1]Sheet1 (2)'!G183</f>
        <v>50.02</v>
      </c>
      <c r="AC5" s="1">
        <f>'[1]Sheet1 (2)'!D198</f>
        <v>50.02</v>
      </c>
      <c r="AD5" s="1">
        <f>'[1]Sheet1 (2)'!G212</f>
        <v>50.02</v>
      </c>
      <c r="AE5" s="1">
        <f>'[1]Sheet1 (2)'!G233</f>
        <v>50.02</v>
      </c>
      <c r="AF5" s="1">
        <f>'[1]Sheet1 (2)'!G253</f>
        <v>50.02</v>
      </c>
      <c r="AG5" s="1">
        <f>'[1]Sheet1 (2)'!G270</f>
        <v>100.02</v>
      </c>
      <c r="AH5" s="1">
        <f>'[1]Sheet1 (2)'!G288</f>
        <v>100.02</v>
      </c>
      <c r="AI5" s="1">
        <f>'[1]Sheet1 (2)'!G303</f>
        <v>100.02</v>
      </c>
      <c r="AJ5" s="1">
        <f>'[1]Sheet1 (2)'!G318</f>
        <v>100.02</v>
      </c>
      <c r="AK5" s="1">
        <f>'[1]Sheet1 (2)'!G342</f>
        <v>100.02</v>
      </c>
      <c r="AL5" s="1">
        <f>'[1]Sheet1 (2)'!G363</f>
        <v>100.02</v>
      </c>
      <c r="AM5" s="1">
        <f>'[1]Sheet1 (2)'!G382</f>
        <v>100.02</v>
      </c>
      <c r="AN5" s="1">
        <f>'[1]Sheet1 (2)'!G401</f>
        <v>100.02</v>
      </c>
      <c r="AO5" s="1">
        <f>'[1]Sheet1 (2)'!G414</f>
        <v>100.02</v>
      </c>
      <c r="AP5" s="1">
        <f>'[1]Sheet1 (2)'!G427</f>
        <v>100.02</v>
      </c>
      <c r="AQ5" s="1">
        <f>'[1]Sheet1 (2)'!G441</f>
        <v>100.02</v>
      </c>
      <c r="AR5" s="8">
        <v>87.512175903993111</v>
      </c>
      <c r="AS5" s="1">
        <f>'[1]Sheet1 (2)'!G459</f>
        <v>100.02</v>
      </c>
      <c r="AT5" s="1">
        <f>'[1]Sheet1 (2)'!G478</f>
        <v>100.02</v>
      </c>
      <c r="AU5" s="1"/>
      <c r="AV5" s="1"/>
      <c r="AW5" s="1"/>
      <c r="AX5" s="1"/>
      <c r="AY5" s="1"/>
      <c r="AZ5" s="1"/>
      <c r="BA5" s="1"/>
      <c r="BB5" s="1"/>
      <c r="BC5" s="1"/>
      <c r="BD5" s="9">
        <f t="shared" si="0"/>
        <v>2788.2721759039928</v>
      </c>
      <c r="BE5" s="9">
        <f t="shared" si="1"/>
        <v>87.512175903993011</v>
      </c>
      <c r="BF5" s="9">
        <f t="shared" si="2"/>
        <v>1250.4399999999998</v>
      </c>
    </row>
    <row r="6" spans="1:58" x14ac:dyDescent="0.3">
      <c r="A6" s="10" t="s">
        <v>24</v>
      </c>
      <c r="B6" s="1">
        <f>'[1]Sheet1 (2)'!H52</f>
        <v>2821.3799999999992</v>
      </c>
      <c r="C6" s="1">
        <v>-100</v>
      </c>
      <c r="D6" s="7">
        <f t="shared" si="3"/>
        <v>2721.3799999999992</v>
      </c>
      <c r="E6" s="7"/>
      <c r="F6" s="1"/>
      <c r="G6" s="1">
        <f>'[1]Sheet1 (2)'!G702</f>
        <v>200</v>
      </c>
      <c r="H6" s="1">
        <f>IF(ISNA(VLOOKUP(A6,'[1]Sheet1 (2)'!$A$595:$H$607,7,FALSE)),0,(VLOOKUP(A6,'[1]Sheet1 (2)'!$A$595:$H$607,7,FALSE)))</f>
        <v>100.06</v>
      </c>
      <c r="I6" s="1">
        <f>IF(ISNA(VLOOKUP(A6,'[1]Sheet1 (2)'!$A$609:$H$616,7,FALSE)),0,VLOOKUP(A6,'[1]Sheet1 (2)'!$A$609:$H$616,7,FALSE))</f>
        <v>100</v>
      </c>
      <c r="J6" s="1">
        <f>IF(ISNA(VLOOKUP(A6,'[1]Sheet1 (2)'!$A$619:$H$630,7,FALSE)),0,VLOOKUP(A6,'[1]Sheet1 (2)'!$A$619:$H$630,7,FALSE))</f>
        <v>100.06</v>
      </c>
      <c r="K6" s="1">
        <f>'[1]Sheet1 (2)'!G637</f>
        <v>100.06</v>
      </c>
      <c r="L6" s="1">
        <f>'[1]Sheet1 (2)'!G644</f>
        <v>100.06</v>
      </c>
      <c r="M6" s="1">
        <f>IF(ISNA(VLOOKUP(A6,'[1]Sheet1 (2)'!$A$650:$H$655,7,FALSE)),0,VLOOKUP(A6,'[1]Sheet1 (2)'!$A$650:$H$655,7,FALSE))</f>
        <v>100.06</v>
      </c>
      <c r="N6" s="1">
        <f>[1]Sheet2!M5</f>
        <v>100.06</v>
      </c>
      <c r="O6" s="1">
        <f>[1]Sheet2!N5</f>
        <v>100.06</v>
      </c>
      <c r="P6" s="1">
        <f>IF(ISNA(VLOOKUP(A6,'[1]Sheet1 (2)'!$A$682:$H$686,7,FALSE)),0,VLOOKUP(A6,'[1]Sheet1 (2)'!$A$682:$H$686,7,FALSE))</f>
        <v>0</v>
      </c>
      <c r="Q6" s="1">
        <f>'[1]Sheet1 (2)'!G696</f>
        <v>100</v>
      </c>
      <c r="R6" s="1">
        <f>'[1]Sheet1 (2)'!G715</f>
        <v>100.06</v>
      </c>
      <c r="S6" s="1"/>
      <c r="T6" s="1"/>
      <c r="U6" s="1"/>
      <c r="V6" s="1">
        <f>'[1]Sheet1 (2)'!G126+'[1]Sheet1 (2)'!G129</f>
        <v>150</v>
      </c>
      <c r="W6" s="1">
        <f>'[1]Sheet1 (2)'!G140</f>
        <v>100</v>
      </c>
      <c r="X6" s="1">
        <f>'[1]Sheet1 (2)'!G148</f>
        <v>50</v>
      </c>
      <c r="Y6" s="1">
        <f>'[1]Sheet1 (2)'!G157</f>
        <v>100</v>
      </c>
      <c r="Z6" s="1">
        <f>'[1]Sheet1 (2)'!D165</f>
        <v>100</v>
      </c>
      <c r="AA6" s="1">
        <f>'[1]Sheet1 (2)'!G176</f>
        <v>100</v>
      </c>
      <c r="AB6" s="1"/>
      <c r="AC6" s="1">
        <f>'[1]Sheet1 (2)'!D197</f>
        <v>100</v>
      </c>
      <c r="AD6" s="1">
        <f>'[1]Sheet1 (2)'!D217</f>
        <v>50.06</v>
      </c>
      <c r="AE6" s="1">
        <f>'[1]Sheet1 (2)'!G235</f>
        <v>100.06</v>
      </c>
      <c r="AF6" s="1">
        <f>'[1]Sheet1 (2)'!G260</f>
        <v>70.06</v>
      </c>
      <c r="AG6" s="1"/>
      <c r="AH6" s="1"/>
      <c r="AI6" s="1"/>
      <c r="AJ6" s="1">
        <f>'[1]Sheet1 (2)'!G314</f>
        <v>50.06</v>
      </c>
      <c r="AK6" s="1">
        <f>'[1]Sheet1 (2)'!G344</f>
        <v>50.06</v>
      </c>
      <c r="AL6" s="1">
        <f>'[1]Sheet1 (2)'!G356</f>
        <v>50.06</v>
      </c>
      <c r="AM6" s="1">
        <f>'[1]Sheet1 (2)'!G384</f>
        <v>50.06</v>
      </c>
      <c r="AN6" s="1">
        <f>'[1]Sheet1 (2)'!G402</f>
        <v>50.06</v>
      </c>
      <c r="AO6" s="1">
        <f>'[1]Sheet1 (2)'!G418</f>
        <v>50.06</v>
      </c>
      <c r="AP6" s="1">
        <f>'[1]Sheet1 (2)'!G431</f>
        <v>50.06</v>
      </c>
      <c r="AQ6" s="1">
        <f>'[1]Sheet1 (2)'!G442</f>
        <v>50.06</v>
      </c>
      <c r="AR6" s="8">
        <v>88.256535359472934</v>
      </c>
      <c r="AS6" s="1">
        <f>'[1]Sheet1 (2)'!G455+'[1]Sheet1 (2)'!G463</f>
        <v>150.12</v>
      </c>
      <c r="AT6" s="1">
        <f>'[1]Sheet1 (2)'!G484+'[1]Sheet1 (2)'!G471</f>
        <v>150.12</v>
      </c>
      <c r="AU6" s="1"/>
      <c r="AV6" s="1"/>
      <c r="AW6" s="1"/>
      <c r="AX6" s="1"/>
      <c r="AY6" s="1"/>
      <c r="AZ6" s="1"/>
      <c r="BA6" s="1"/>
      <c r="BB6" s="1"/>
      <c r="BC6" s="1"/>
      <c r="BD6" s="9">
        <f t="shared" si="0"/>
        <v>2909.636535359472</v>
      </c>
      <c r="BE6" s="9">
        <f t="shared" si="1"/>
        <v>88.256535359472764</v>
      </c>
      <c r="BF6" s="9">
        <f t="shared" si="2"/>
        <v>1900.4799999999998</v>
      </c>
    </row>
    <row r="7" spans="1:58" x14ac:dyDescent="0.3">
      <c r="A7" s="10" t="s">
        <v>25</v>
      </c>
      <c r="B7" s="1">
        <f>'[1]Sheet1 (2)'!H694</f>
        <v>3400.06</v>
      </c>
      <c r="C7" s="1">
        <v>-100</v>
      </c>
      <c r="D7" s="7">
        <f t="shared" si="3"/>
        <v>3300.06</v>
      </c>
      <c r="E7" s="7"/>
      <c r="F7" s="1"/>
      <c r="G7" s="1">
        <f>IF(ISNA(VLOOKUP(A7,'[1]Sheet1 (2)'!A$588:$H$593,7,FALSE)),0,VLOOKUP(A7,'[1]Sheet1 (2)'!A$588:$H$593,7,FALSE))</f>
        <v>0</v>
      </c>
      <c r="H7" s="1">
        <f>(IF(ISNA(VLOOKUP(A7,'[1]Sheet1 (2)'!$A$595:$H$607,7,FALSE)),0,(VLOOKUP(A7,'[1]Sheet1 (2)'!$A$595:$H$607,7,FALSE))))+'[1]Sheet1 (2)'!G13</f>
        <v>450.06</v>
      </c>
      <c r="I7" s="1">
        <f>IF(ISNA(VLOOKUP(A7,'[1]Sheet1 (2)'!$A$609:$H$616,7,FALSE)),0,VLOOKUP(A7,'[1]Sheet1 (2)'!$A$609:$H$616,7,FALSE))</f>
        <v>200</v>
      </c>
      <c r="J7" s="1">
        <f>IF(ISNA(VLOOKUP(A7,'[1]Sheet1 (2)'!$A$619:$H$630,7,FALSE)),0,VLOOKUP(A7,'[1]Sheet1 (2)'!$A$619:$H$630,7,FALSE))</f>
        <v>0</v>
      </c>
      <c r="K7" s="1"/>
      <c r="L7" s="1"/>
      <c r="M7" s="1">
        <f>IF(ISNA(VLOOKUP(A7,'[1]Sheet1 (2)'!$A$650:$H$655,7,FALSE)),0,VLOOKUP(A7,'[1]Sheet1 (2)'!$A$650:$H$655,7,FALSE))</f>
        <v>0</v>
      </c>
      <c r="N7" s="1">
        <f>[1]Sheet2!M6</f>
        <v>0</v>
      </c>
      <c r="O7" s="1">
        <f>[1]Sheet2!N6</f>
        <v>0</v>
      </c>
      <c r="P7" s="1">
        <f>IF(ISNA(VLOOKUP(A7,'[1]Sheet1 (2)'!$A$682:$H$686,7,FALSE)),0,VLOOKUP(A7,'[1]Sheet1 (2)'!$A$682:$H$686,7,FALSE))</f>
        <v>0</v>
      </c>
      <c r="Q7" s="1">
        <f>'[1]Sheet1 (2)'!G694</f>
        <v>150</v>
      </c>
      <c r="R7" s="1">
        <f>'[1]Sheet1 (2)'!G710</f>
        <v>150</v>
      </c>
      <c r="S7" s="1">
        <f>'[1]Sheet1 (2)'!G102</f>
        <v>150</v>
      </c>
      <c r="T7" s="1">
        <f>'[1]Sheet1 (2)'!G112</f>
        <v>150</v>
      </c>
      <c r="U7" s="1"/>
      <c r="V7" s="1">
        <f>'[1]Sheet1 (2)'!G127</f>
        <v>150</v>
      </c>
      <c r="W7" s="1">
        <f>'[1]Sheet1 (2)'!G137</f>
        <v>150</v>
      </c>
      <c r="X7" s="1"/>
      <c r="Y7" s="1">
        <f>'[1]Sheet1 (2)'!G153</f>
        <v>150</v>
      </c>
      <c r="Z7" s="1"/>
      <c r="AA7" s="1"/>
      <c r="AB7" s="1">
        <f>'[1]Sheet1 (2)'!G180</f>
        <v>150</v>
      </c>
      <c r="AC7" s="1">
        <f>'[1]Sheet1 (2)'!G193</f>
        <v>150</v>
      </c>
      <c r="AD7" s="1">
        <f>'[1]Sheet1 (2)'!G211</f>
        <v>150</v>
      </c>
      <c r="AE7" s="1">
        <f>'[1]Sheet1 (2)'!G228</f>
        <v>150</v>
      </c>
      <c r="AF7" s="1">
        <f>'[1]Sheet1 (2)'!G243</f>
        <v>150</v>
      </c>
      <c r="AG7" s="1">
        <f>'[1]Sheet1 (2)'!G266</f>
        <v>150</v>
      </c>
      <c r="AH7" s="1">
        <f>'[1]Sheet1 (2)'!G285</f>
        <v>150</v>
      </c>
      <c r="AI7" s="1">
        <f>'[1]Sheet1 (2)'!G301</f>
        <v>150</v>
      </c>
      <c r="AJ7" s="1">
        <f>'[1]Sheet1 (2)'!G315</f>
        <v>150</v>
      </c>
      <c r="AK7" s="1">
        <f>'[1]Sheet1 (2)'!G335</f>
        <v>150</v>
      </c>
      <c r="AL7" s="1">
        <v>0</v>
      </c>
      <c r="AM7" s="1">
        <f>'[1]Sheet1 (2)'!G376</f>
        <v>150</v>
      </c>
      <c r="AN7" s="1"/>
      <c r="AO7" s="1"/>
      <c r="AP7" s="1">
        <v>0</v>
      </c>
      <c r="AQ7" s="1">
        <f>'[1]Sheet1 (2)'!G437</f>
        <v>50</v>
      </c>
      <c r="AR7" s="8">
        <v>120.29534107006711</v>
      </c>
      <c r="AS7" s="1">
        <v>0</v>
      </c>
      <c r="AT7" s="1">
        <v>0</v>
      </c>
      <c r="AU7" s="1"/>
      <c r="AV7" s="1"/>
      <c r="AW7" s="1"/>
      <c r="AX7" s="1"/>
      <c r="AY7" s="1"/>
      <c r="AZ7" s="1"/>
      <c r="BA7" s="1"/>
      <c r="BB7" s="1"/>
      <c r="BC7" s="1"/>
      <c r="BD7" s="9">
        <f t="shared" si="0"/>
        <v>3520.355341070067</v>
      </c>
      <c r="BE7" s="9">
        <f t="shared" si="1"/>
        <v>120.29534107006702</v>
      </c>
      <c r="BF7" s="9">
        <f t="shared" si="2"/>
        <v>2000.06</v>
      </c>
    </row>
    <row r="8" spans="1:58" x14ac:dyDescent="0.3">
      <c r="A8" t="s">
        <v>26</v>
      </c>
      <c r="B8" s="1">
        <f>'[1]Sheet1 (2)'!H690</f>
        <v>2356.04</v>
      </c>
      <c r="C8" s="1">
        <v>-100</v>
      </c>
      <c r="D8" s="7">
        <f t="shared" si="3"/>
        <v>2256.04</v>
      </c>
      <c r="E8" s="7"/>
      <c r="F8" s="1"/>
      <c r="G8" s="1">
        <f>IF(ISNA(VLOOKUP(A8,'[1]Sheet1 (2)'!A$588:$H$593,7,FALSE)),0,VLOOKUP(A8,'[1]Sheet1 (2)'!A$588:$H$593,7,FALSE))</f>
        <v>150.01</v>
      </c>
      <c r="H8" s="1">
        <f>IF(ISNA(VLOOKUP(A8,'[1]Sheet1 (2)'!$A$595:$H$607,7,FALSE)),0,(VLOOKUP(A8,'[1]Sheet1 (2)'!$A$595:$H$607,7,FALSE)))</f>
        <v>50.01</v>
      </c>
      <c r="I8" s="1">
        <f>IF(ISNA(VLOOKUP(A8,'[1]Sheet1 (2)'!$A$609:$H$616,7,FALSE)),0,VLOOKUP(A8,'[1]Sheet1 (2)'!$A$609:$H$616,7,FALSE))</f>
        <v>0</v>
      </c>
      <c r="J8" s="1">
        <f>IF(ISNA(VLOOKUP(A8,'[1]Sheet1 (2)'!$A$619:$H$630,7,FALSE)),0,VLOOKUP(A8,'[1]Sheet1 (2)'!$A$619:$H$630,7,FALSE))</f>
        <v>50.01</v>
      </c>
      <c r="K8" s="1">
        <f>'[1]Sheet1 (2)'!G635</f>
        <v>100.01</v>
      </c>
      <c r="L8" s="1"/>
      <c r="M8" s="1">
        <f>IF(ISNA(VLOOKUP(A8,'[1]Sheet1 (2)'!$A$650:$H$655,7,FALSE)),0,VLOOKUP(A8,'[1]Sheet1 (2)'!$A$650:$H$655,7,FALSE))</f>
        <v>100</v>
      </c>
      <c r="N8" s="1">
        <f>[1]Sheet2!M7</f>
        <v>0</v>
      </c>
      <c r="O8" s="1">
        <f>[1]Sheet2!N7</f>
        <v>300</v>
      </c>
      <c r="P8" s="1">
        <f>IF(ISNA(VLOOKUP(A8,'[1]Sheet1 (2)'!$A$682:$H$686,7,FALSE)),0,VLOOKUP(A8,'[1]Sheet1 (2)'!$A$682:$H$686,7,FALSE))</f>
        <v>0</v>
      </c>
      <c r="Q8" s="1">
        <f>'[1]Sheet1 (2)'!G690</f>
        <v>100</v>
      </c>
      <c r="R8" s="1"/>
      <c r="S8" s="1">
        <f>'[1]Sheet1 (2)'!G101</f>
        <v>200</v>
      </c>
      <c r="T8" s="1"/>
      <c r="U8" s="1">
        <f>'[1]Sheet1 (2)'!G119</f>
        <v>100</v>
      </c>
      <c r="V8" s="1"/>
      <c r="W8" s="1"/>
      <c r="X8" s="1"/>
      <c r="Y8" s="1"/>
      <c r="Z8" s="1"/>
      <c r="AA8" s="1"/>
      <c r="AB8" s="1"/>
      <c r="AC8" s="1">
        <f>'[1]Sheet1 (2)'!G191</f>
        <v>100</v>
      </c>
      <c r="AD8" s="1">
        <f>'[1]Sheet1 (2)'!G208</f>
        <v>106</v>
      </c>
      <c r="AE8" s="1">
        <f>'[1]Sheet1 (2)'!G226</f>
        <v>100</v>
      </c>
      <c r="AF8" s="1">
        <f>'[1]Sheet1 (2)'!G256</f>
        <v>100</v>
      </c>
      <c r="AG8" s="1">
        <f>'[1]Sheet1 (2)'!G265</f>
        <v>100</v>
      </c>
      <c r="AH8" s="1"/>
      <c r="AI8" s="1">
        <f>'[1]Sheet1 (2)'!G297</f>
        <v>100</v>
      </c>
      <c r="AJ8" s="1">
        <f>'[1]Sheet1 (2)'!G323</f>
        <v>100</v>
      </c>
      <c r="AK8" s="1"/>
      <c r="AL8" s="1">
        <f>'[1]Sheet1 (2)'!G359</f>
        <v>100</v>
      </c>
      <c r="AM8" s="1">
        <f>'[1]Sheet1 (2)'!G383</f>
        <v>100</v>
      </c>
      <c r="AN8" s="1"/>
      <c r="AO8" s="1"/>
      <c r="AP8" s="1">
        <v>0</v>
      </c>
      <c r="AQ8" s="1">
        <f>'[1]Sheet1 (2)'!G435+'[1]Sheet1 (2)'!G446</f>
        <v>100</v>
      </c>
      <c r="AR8" s="8">
        <v>74.947738239214075</v>
      </c>
      <c r="AS8" s="1">
        <f>'[1]Sheet1 (2)'!G456+'[1]Sheet1 (2)'!G465</f>
        <v>100</v>
      </c>
      <c r="AT8" s="1">
        <f>'[1]Sheet1 (2)'!G472+'[1]Sheet1 (2)'!G481</f>
        <v>100</v>
      </c>
      <c r="AU8" s="1"/>
      <c r="AV8" s="1"/>
      <c r="AW8" s="1"/>
      <c r="AX8" s="1"/>
      <c r="AY8" s="1"/>
      <c r="AZ8" s="1"/>
      <c r="BA8" s="1"/>
      <c r="BB8" s="1"/>
      <c r="BC8" s="1"/>
      <c r="BD8" s="9">
        <f t="shared" si="0"/>
        <v>2430.9877382392142</v>
      </c>
      <c r="BE8" s="9">
        <f t="shared" si="1"/>
        <v>74.947738239214232</v>
      </c>
      <c r="BF8" s="9">
        <f t="shared" si="2"/>
        <v>1250.04</v>
      </c>
    </row>
    <row r="9" spans="1:58" x14ac:dyDescent="0.3">
      <c r="A9" t="s">
        <v>27</v>
      </c>
      <c r="B9" s="1">
        <f>'[1]Sheet1 (2)'!H66</f>
        <v>2400.8399999999997</v>
      </c>
      <c r="C9" s="1">
        <v>-100</v>
      </c>
      <c r="D9" s="7">
        <f t="shared" si="3"/>
        <v>2300.8399999999997</v>
      </c>
      <c r="E9" s="7"/>
      <c r="F9" s="1"/>
      <c r="G9" s="1">
        <f>IF(ISNA(VLOOKUP(A9,'[1]Sheet1 (2)'!A$588:$H$593,7,FALSE)),0,VLOOKUP(A9,'[1]Sheet1 (2)'!A$588:$H$593,7,FALSE))</f>
        <v>0</v>
      </c>
      <c r="H9" s="1">
        <f>IF(ISNA(VLOOKUP(A9,'[1]Sheet1 (2)'!$A$595:$H$607,7,FALSE)),0,(VLOOKUP(A9,'[1]Sheet1 (2)'!$A$595:$H$607,7,FALSE)))</f>
        <v>200.04</v>
      </c>
      <c r="I9" s="1">
        <f>IF(ISNA(VLOOKUP(A9,'[1]Sheet1 (2)'!$A$609:$H$616,7,FALSE)),0,VLOOKUP(A9,'[1]Sheet1 (2)'!$A$609:$H$616,7,FALSE))</f>
        <v>0</v>
      </c>
      <c r="J9" s="1">
        <f>IF(ISNA(VLOOKUP(A9,'[1]Sheet1 (2)'!$A$619:$H$630,7,FALSE)),0,VLOOKUP(A9,'[1]Sheet1 (2)'!$A$619:$H$630,7,FALSE))</f>
        <v>200.04</v>
      </c>
      <c r="K9" s="1"/>
      <c r="L9" s="1"/>
      <c r="M9" s="1">
        <f>IF(ISNA(VLOOKUP(A9,'[1]Sheet1 (2)'!$A$650:$H$655,7,FALSE)),0,VLOOKUP(A9,'[1]Sheet1 (2)'!$A$650:$H$655,7,FALSE))</f>
        <v>0</v>
      </c>
      <c r="N9" s="1">
        <f>[1]Sheet2!M8</f>
        <v>200.08</v>
      </c>
      <c r="O9" s="1">
        <f>[1]Sheet2!N8</f>
        <v>0</v>
      </c>
      <c r="P9" s="1">
        <f>IF(ISNA(VLOOKUP(A9,'[1]Sheet1 (2)'!$A$682:$H$686,7,FALSE)),0,VLOOKUP(A9,'[1]Sheet1 (2)'!$A$682:$H$686,7,FALSE))</f>
        <v>0</v>
      </c>
      <c r="Q9" s="1"/>
      <c r="R9" s="1"/>
      <c r="S9" s="1">
        <f>'[1]Sheet1 (2)'!G105</f>
        <v>100.04</v>
      </c>
      <c r="T9" s="1"/>
      <c r="U9" s="1"/>
      <c r="V9" s="1">
        <f>'[1]Sheet1 (2)'!G748</f>
        <v>100</v>
      </c>
      <c r="W9" s="1">
        <f>'[1]Sheet1 (2)'!G138</f>
        <v>100.04</v>
      </c>
      <c r="X9" s="1"/>
      <c r="Y9" s="1"/>
      <c r="Z9" s="1">
        <f>'[1]Sheet1 (2)'!D161</f>
        <v>100.04</v>
      </c>
      <c r="AA9" s="1"/>
      <c r="AB9" s="1"/>
      <c r="AC9" s="1"/>
      <c r="AD9" s="1"/>
      <c r="AE9" s="1"/>
      <c r="AF9" s="1">
        <f>'[1]Sheet1 (2)'!G251</f>
        <v>100.04</v>
      </c>
      <c r="AG9" s="1">
        <f>'[1]Sheet1 (2)'!G268</f>
        <v>100.04</v>
      </c>
      <c r="AH9" s="1">
        <f>'[1]Sheet1 (2)'!G286</f>
        <v>100.04</v>
      </c>
      <c r="AI9" s="1">
        <f>'[1]Sheet1 (2)'!G302</f>
        <v>100.04</v>
      </c>
      <c r="AJ9" s="1">
        <f>'[1]Sheet1 (2)'!G317</f>
        <v>100.04</v>
      </c>
      <c r="AK9" s="1">
        <f>'[1]Sheet1 (2)'!G338</f>
        <v>100.04</v>
      </c>
      <c r="AL9" s="1">
        <f>'[1]Sheet1 (2)'!G360</f>
        <v>100.04</v>
      </c>
      <c r="AM9" s="1">
        <f>'[1]Sheet1 (2)'!G381</f>
        <v>100.04</v>
      </c>
      <c r="AN9" s="1">
        <f>'[1]Sheet1 (2)'!G400</f>
        <v>100.04</v>
      </c>
      <c r="AO9" s="1">
        <f>'[1]Sheet1 (2)'!G411</f>
        <v>100.04</v>
      </c>
      <c r="AP9" s="1">
        <f>'[1]Sheet1 (2)'!G424</f>
        <v>100.04</v>
      </c>
      <c r="AQ9" s="1">
        <f>'[1]Sheet1 (2)'!G440</f>
        <v>100.04</v>
      </c>
      <c r="AR9" s="8">
        <v>76.577892737209069</v>
      </c>
      <c r="AS9" s="1">
        <f>'[1]Sheet1 (2)'!G458</f>
        <v>100.04</v>
      </c>
      <c r="AT9" s="1">
        <f>'[1]Sheet1 (2)'!G477</f>
        <v>100.04</v>
      </c>
      <c r="AU9" s="1"/>
      <c r="AV9" s="1"/>
      <c r="AW9" s="1"/>
      <c r="AX9" s="1"/>
      <c r="AY9" s="1"/>
      <c r="AZ9" s="1"/>
      <c r="BA9" s="1"/>
      <c r="BB9" s="1"/>
      <c r="BC9" s="1"/>
      <c r="BD9" s="9">
        <f t="shared" si="0"/>
        <v>2477.4178927372086</v>
      </c>
      <c r="BE9" s="9">
        <f t="shared" si="1"/>
        <v>76.577892737208913</v>
      </c>
      <c r="BF9" s="9">
        <f t="shared" si="2"/>
        <v>1000.2799999999999</v>
      </c>
    </row>
    <row r="10" spans="1:58" x14ac:dyDescent="0.3">
      <c r="A10" t="s">
        <v>28</v>
      </c>
      <c r="B10" s="1">
        <v>200</v>
      </c>
      <c r="C10" s="1">
        <v>-100</v>
      </c>
      <c r="D10" s="7">
        <f t="shared" si="3"/>
        <v>100</v>
      </c>
      <c r="E10" s="7"/>
      <c r="F10" s="1">
        <f>'[1]Sheet1 (2)'!G700</f>
        <v>100</v>
      </c>
      <c r="G10" s="1">
        <f>IF(ISNA(VLOOKUP(A10,'[1]Sheet1 (2)'!A$588:$H$593,7,FALSE)),0,VLOOKUP(A10,'[1]Sheet1 (2)'!A$588:$H$593,7,FALSE))</f>
        <v>0</v>
      </c>
      <c r="H10" s="1">
        <f>IF(ISNA(VLOOKUP(A10,'[1]Sheet1 (2)'!$A$595:$H$607,7,FALSE)),0,(VLOOKUP(A10,'[1]Sheet1 (2)'!$A$595:$H$607,7,FALSE)))</f>
        <v>0</v>
      </c>
      <c r="I10" s="1">
        <f>IF(ISNA(VLOOKUP(A10,'[1]Sheet1 (2)'!$A$609:$H$616,7,FALSE)),0,VLOOKUP(A10,'[1]Sheet1 (2)'!$A$609:$H$616,7,FALSE))</f>
        <v>100</v>
      </c>
      <c r="J10" s="1">
        <f>IF(ISNA(VLOOKUP(A10,'[1]Sheet1 (2)'!$A$619:$H$630,7,FALSE)),0,VLOOKUP(A10,'[1]Sheet1 (2)'!$A$619:$H$630,7,FALSE))</f>
        <v>0</v>
      </c>
      <c r="K10" s="1"/>
      <c r="L10" s="1"/>
      <c r="M10" s="1">
        <f>IF(ISNA(VLOOKUP(A10,'[1]Sheet1 (2)'!$A$650:$H$655,7,FALSE)),0,VLOOKUP(A10,'[1]Sheet1 (2)'!$A$650:$H$655,7,FALSE))</f>
        <v>0</v>
      </c>
      <c r="N10" s="1">
        <f>[1]Sheet2!M9</f>
        <v>0</v>
      </c>
      <c r="O10" s="1">
        <f>[1]Sheet2!N9</f>
        <v>0</v>
      </c>
      <c r="P10" s="1">
        <f>IF(ISNA(VLOOKUP(A10,'[1]Sheet1 (2)'!$A$682:$H$686,7,FALSE)),0,VLOOKUP(A10,'[1]Sheet1 (2)'!$A$682:$H$686,7,FALSE))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0</v>
      </c>
      <c r="AG10" s="1"/>
      <c r="AH10" s="1"/>
      <c r="AI10" s="1"/>
      <c r="AJ10" s="1"/>
      <c r="AK10" s="1"/>
      <c r="AL10" s="1">
        <v>0</v>
      </c>
      <c r="AM10" s="1">
        <v>0</v>
      </c>
      <c r="AN10" s="1"/>
      <c r="AO10" s="1"/>
      <c r="AP10" s="1">
        <v>0</v>
      </c>
      <c r="AQ10" s="1">
        <v>0</v>
      </c>
      <c r="AR10" s="8">
        <v>3.645247088539818</v>
      </c>
      <c r="AS10" s="1">
        <v>0</v>
      </c>
      <c r="AT10" s="1">
        <v>0</v>
      </c>
      <c r="AU10" s="1"/>
      <c r="AV10" s="1"/>
      <c r="AW10" s="1"/>
      <c r="AX10" s="1"/>
      <c r="AY10" s="1"/>
      <c r="AZ10" s="1"/>
      <c r="BA10" s="1"/>
      <c r="BB10" s="1"/>
      <c r="BC10" s="1"/>
      <c r="BD10" s="9">
        <f t="shared" si="0"/>
        <v>203.6452470885398</v>
      </c>
      <c r="BE10" s="9">
        <f t="shared" si="1"/>
        <v>3.6452470885398043</v>
      </c>
      <c r="BF10" s="9">
        <f t="shared" si="2"/>
        <v>200</v>
      </c>
    </row>
    <row r="11" spans="1:58" x14ac:dyDescent="0.3">
      <c r="A11" s="10" t="s">
        <v>29</v>
      </c>
      <c r="B11" s="1">
        <f>'[1]Sheet1 (2)'!H641</f>
        <v>3804.9400000000028</v>
      </c>
      <c r="C11" s="1">
        <v>-100</v>
      </c>
      <c r="D11" s="7">
        <f t="shared" si="3"/>
        <v>3704.9400000000028</v>
      </c>
      <c r="E11" s="7"/>
      <c r="F11" s="1"/>
      <c r="G11" s="1">
        <f>IF(ISNA(VLOOKUP(A11,'[1]Sheet1 (2)'!A$588:$H$593,7,FALSE)),0,VLOOKUP(A11,'[1]Sheet1 (2)'!A$588:$H$593,7,FALSE))</f>
        <v>0</v>
      </c>
      <c r="H11" s="1">
        <f>IF(ISNA(VLOOKUP(A11,'[1]Sheet1 (2)'!$A$595:$H$607,7,FALSE)),0,(VLOOKUP(A11,'[1]Sheet1 (2)'!$A$595:$H$607,7,FALSE)))</f>
        <v>150.13</v>
      </c>
      <c r="I11" s="1">
        <f>IF(ISNA(VLOOKUP(A11,'[1]Sheet1 (2)'!$A$609:$H$616,7,FALSE)),0,VLOOKUP(A11,'[1]Sheet1 (2)'!$A$609:$H$616,7,FALSE))</f>
        <v>0</v>
      </c>
      <c r="J11" s="1">
        <f>'[1]Sheet1 (2)'!G627+'[1]Sheet1 (2)'!G623</f>
        <v>150.26</v>
      </c>
      <c r="K11" s="1">
        <f>'[1]Sheet1 (2)'!G632</f>
        <v>100.13</v>
      </c>
      <c r="L11" s="1">
        <f>'[1]Sheet1 (2)'!G641</f>
        <v>100.13</v>
      </c>
      <c r="M11" s="1">
        <f>IF(ISNA(VLOOKUP(A11,'[1]Sheet1 (2)'!$A$650:$H$655,7,FALSE)),0,VLOOKUP(A11,'[1]Sheet1 (2)'!$A$650:$H$655,7,FALSE))</f>
        <v>100.13</v>
      </c>
      <c r="N11" s="1">
        <f>[1]Sheet2!M10</f>
        <v>100.13</v>
      </c>
      <c r="O11" s="1">
        <f>[1]Sheet2!N10</f>
        <v>100.13</v>
      </c>
      <c r="P11" s="1">
        <f>IF(ISNA(VLOOKUP(A11,'[1]Sheet1 (2)'!$A$682:$H$686,7,FALSE)),0,VLOOKUP(A11,'[1]Sheet1 (2)'!$A$682:$H$686,7,FALSE))</f>
        <v>100.13</v>
      </c>
      <c r="Q11" s="1">
        <f>'[1]Sheet1 (2)'!G693</f>
        <v>100.13</v>
      </c>
      <c r="R11" s="1">
        <f>'[1]Sheet1 (2)'!G709</f>
        <v>100.13</v>
      </c>
      <c r="S11" s="1">
        <f>'[1]Sheet1 (2)'!G103</f>
        <v>100.13</v>
      </c>
      <c r="T11" s="1">
        <f>'[1]Sheet1 (2)'!G111</f>
        <v>100.13</v>
      </c>
      <c r="U11" s="1">
        <f>'[1]Sheet1 (2)'!G117</f>
        <v>100.13</v>
      </c>
      <c r="V11" s="1">
        <f>'[1]Sheet1 (2)'!G128</f>
        <v>100.13</v>
      </c>
      <c r="W11" s="1">
        <f>'[1]Sheet1 (2)'!G136</f>
        <v>100.13</v>
      </c>
      <c r="X11" s="1">
        <f>'[1]Sheet1 (2)'!G144</f>
        <v>100.13</v>
      </c>
      <c r="Y11" s="1">
        <f>'[1]Sheet1 (2)'!G152</f>
        <v>100.13</v>
      </c>
      <c r="Z11" s="1">
        <f>'[1]Sheet1 (2)'!D162</f>
        <v>100.13</v>
      </c>
      <c r="AA11" s="1">
        <f>'[1]Sheet1 (2)'!G171</f>
        <v>100.13</v>
      </c>
      <c r="AB11" s="1">
        <f>'[1]Sheet1 (2)'!G179</f>
        <v>100.13</v>
      </c>
      <c r="AC11" s="1">
        <f>'[1]Sheet1 (2)'!G190</f>
        <v>100.13</v>
      </c>
      <c r="AD11" s="1"/>
      <c r="AE11" s="1">
        <f>'[1]Sheet1 (2)'!G222+'[1]Sheet1 (2)'!G230</f>
        <v>200.26</v>
      </c>
      <c r="AF11" s="1">
        <f>'[1]Sheet1 (2)'!G244</f>
        <v>100.13</v>
      </c>
      <c r="AG11" s="1">
        <f>'[1]Sheet1 (2)'!G267</f>
        <v>100.13</v>
      </c>
      <c r="AH11" s="1">
        <f>'[1]Sheet1 (2)'!G284</f>
        <v>100.13</v>
      </c>
      <c r="AI11" s="1">
        <f>'[1]Sheet1 (2)'!G300</f>
        <v>100.13</v>
      </c>
      <c r="AJ11" s="1">
        <f>'[1]Sheet1 (2)'!G313</f>
        <v>100.13</v>
      </c>
      <c r="AK11" s="1">
        <f>'[1]Sheet1 (2)'!G337</f>
        <v>100.13</v>
      </c>
      <c r="AL11" s="1">
        <f>'[1]Sheet1 (2)'!G355</f>
        <v>100.13</v>
      </c>
      <c r="AM11" s="1">
        <f>'[1]Sheet1 (2)'!G377</f>
        <v>100.13</v>
      </c>
      <c r="AN11" s="1">
        <f>'[1]Sheet1 (2)'!G396</f>
        <v>100.13</v>
      </c>
      <c r="AO11" s="1">
        <f>'[1]Sheet1 (2)'!G415</f>
        <v>100.13</v>
      </c>
      <c r="AP11" s="1">
        <f>'[1]Sheet1 (2)'!G426</f>
        <v>100.13</v>
      </c>
      <c r="AQ11" s="1">
        <f>'[1]Sheet1 (2)'!G439</f>
        <v>100.13</v>
      </c>
      <c r="AR11" s="8">
        <v>127.75424566263739</v>
      </c>
      <c r="AS11" s="1">
        <f>'[1]Sheet1 (2)'!G464</f>
        <v>100.13</v>
      </c>
      <c r="AT11" s="1">
        <f>'[1]Sheet1 (2)'!G475</f>
        <v>100.13</v>
      </c>
      <c r="AU11" s="1"/>
      <c r="AV11" s="1"/>
      <c r="AW11" s="1"/>
      <c r="AX11" s="1"/>
      <c r="AY11" s="1"/>
      <c r="AZ11" s="1"/>
      <c r="BA11" s="1"/>
      <c r="BB11" s="1"/>
      <c r="BC11" s="1"/>
      <c r="BD11" s="9">
        <f t="shared" si="0"/>
        <v>3932.6942456626398</v>
      </c>
      <c r="BE11" s="9">
        <f t="shared" si="1"/>
        <v>127.754245662637</v>
      </c>
      <c r="BF11" s="9">
        <f t="shared" si="2"/>
        <v>2202.860000000001</v>
      </c>
    </row>
    <row r="12" spans="1:58" x14ac:dyDescent="0.3">
      <c r="A12" t="s">
        <v>30</v>
      </c>
      <c r="B12" s="1">
        <v>508</v>
      </c>
      <c r="C12" s="1">
        <v>-100</v>
      </c>
      <c r="D12" s="7">
        <f t="shared" si="3"/>
        <v>408</v>
      </c>
      <c r="E12" s="7"/>
      <c r="F12" s="1"/>
      <c r="G12" s="1">
        <f>IF(ISNA(VLOOKUP(A12,'[1]Sheet1 (2)'!A$588:$H$593,7,FALSE)),0,VLOOKUP(A12,'[1]Sheet1 (2)'!A$588:$H$593,7,FALSE))</f>
        <v>0</v>
      </c>
      <c r="H12" s="1">
        <f>(IF(ISNA(VLOOKUP(A12,'[1]Sheet1 (2)'!$A$595:$H$607,7,FALSE)),0,(VLOOKUP(A12,'[1]Sheet1 (2)'!$A$595:$H$607,7,FALSE))))+'[1]Sheet1 (2)'!D606</f>
        <v>308</v>
      </c>
      <c r="I12" s="1">
        <f>IF(ISNA(VLOOKUP(A12,'[1]Sheet1 (2)'!$A$609:$H$616,7,FALSE)),0,VLOOKUP(A12,'[1]Sheet1 (2)'!$A$609:$H$616,7,FALSE))</f>
        <v>0</v>
      </c>
      <c r="J12" s="1">
        <f>IF(ISNA(VLOOKUP(A12,'[1]Sheet1 (2)'!$A$619:$H$630,7,FALSE)),0,VLOOKUP(A12,'[1]Sheet1 (2)'!$A$619:$H$630,7,FALSE))</f>
        <v>200</v>
      </c>
      <c r="K12" s="1"/>
      <c r="L12" s="1"/>
      <c r="M12" s="1">
        <f>IF(ISNA(VLOOKUP(A12,'[1]Sheet1 (2)'!$A$650:$H$655,7,FALSE)),0,VLOOKUP(A12,'[1]Sheet1 (2)'!$A$650:$H$655,7,FALSE))</f>
        <v>0</v>
      </c>
      <c r="N12" s="1">
        <f>[1]Sheet2!M11</f>
        <v>0</v>
      </c>
      <c r="O12" s="1">
        <f>[1]Sheet2!N11</f>
        <v>0</v>
      </c>
      <c r="P12" s="1">
        <f>IF(ISNA(VLOOKUP(A12,'[1]Sheet1 (2)'!$A$682:$H$686,7,FALSE)),0,VLOOKUP(A12,'[1]Sheet1 (2)'!$A$682:$H$686,7,FALSE))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>
        <v>0</v>
      </c>
      <c r="AG12" s="1"/>
      <c r="AH12" s="1"/>
      <c r="AI12" s="1"/>
      <c r="AJ12" s="1"/>
      <c r="AK12" s="1"/>
      <c r="AL12" s="1">
        <v>0</v>
      </c>
      <c r="AM12" s="1">
        <v>0</v>
      </c>
      <c r="AN12" s="1"/>
      <c r="AO12" s="1"/>
      <c r="AP12" s="1">
        <v>0</v>
      </c>
      <c r="AQ12" s="1">
        <v>0</v>
      </c>
      <c r="AR12" s="8">
        <v>14.872608121242459</v>
      </c>
      <c r="AS12" s="1">
        <v>0</v>
      </c>
      <c r="AT12" s="1">
        <v>0</v>
      </c>
      <c r="AU12" s="1"/>
      <c r="AV12" s="1"/>
      <c r="AW12" s="1"/>
      <c r="AX12" s="1"/>
      <c r="AY12" s="1"/>
      <c r="AZ12" s="1"/>
      <c r="BA12" s="1"/>
      <c r="BB12" s="1"/>
      <c r="BC12" s="1"/>
      <c r="BD12" s="9">
        <f t="shared" si="0"/>
        <v>522.87260812124248</v>
      </c>
      <c r="BE12" s="9">
        <f t="shared" si="1"/>
        <v>14.872608121242479</v>
      </c>
      <c r="BF12" s="9">
        <f t="shared" si="2"/>
        <v>508</v>
      </c>
    </row>
    <row r="13" spans="1:58" x14ac:dyDescent="0.3">
      <c r="A13" s="10" t="s">
        <v>31</v>
      </c>
      <c r="B13" s="1">
        <f>'[1]Sheet1 (2)'!H51</f>
        <v>2452.5199999999995</v>
      </c>
      <c r="C13" s="1">
        <v>-100</v>
      </c>
      <c r="D13" s="7">
        <f t="shared" si="3"/>
        <v>2352.5199999999995</v>
      </c>
      <c r="E13" s="7"/>
      <c r="F13" s="1"/>
      <c r="G13" s="1">
        <f>(IF(ISNA(VLOOKUP(A13,'[1]Sheet1 (2)'!A$588:$H$593,7,FALSE)),0,VLOOKUP(A13,'[1]Sheet1 (2)'!A$588:$H$593,7,FALSE)))+'[1]Sheet1 (2)'!G593</f>
        <v>200.14</v>
      </c>
      <c r="H13" s="1">
        <f>IF(ISNA(VLOOKUP(A13,'[1]Sheet1 (2)'!$A$595:$H$607,7,FALSE)),0,(VLOOKUP(A13,'[1]Sheet1 (2)'!$A$595:$H$607,7,FALSE)))</f>
        <v>50.07</v>
      </c>
      <c r="I13" s="1">
        <f>(IF(ISNA(VLOOKUP(A13,'[1]Sheet1 (2)'!$A$609:$H$616,7,FALSE)),0,VLOOKUP(A13,'[1]Sheet1 (2)'!$A$609:$H$616,7,FALSE)))+'[1]Sheet1 (2)'!G613</f>
        <v>100.14</v>
      </c>
      <c r="J13" s="1">
        <f>IF(ISNA(VLOOKUP(A13,'[1]Sheet1 (2)'!$A$619:$H$630,7,FALSE)),0,VLOOKUP(A13,'[1]Sheet1 (2)'!$A$619:$H$630,7,FALSE))</f>
        <v>50.07</v>
      </c>
      <c r="K13" s="1">
        <f>'[1]Sheet1 (2)'!G636</f>
        <v>50.07</v>
      </c>
      <c r="L13" s="1">
        <f>'[1]Sheet1 (2)'!G643</f>
        <v>50.07</v>
      </c>
      <c r="M13" s="1">
        <f>IF(ISNA(VLOOKUP(A13,'[1]Sheet1 (2)'!$A$650:$H$655,7,FALSE)),0,VLOOKUP(A13,'[1]Sheet1 (2)'!$A$650:$H$655,7,FALSE))</f>
        <v>0</v>
      </c>
      <c r="N13" s="1">
        <f>[1]Sheet2!M12</f>
        <v>100.07</v>
      </c>
      <c r="O13" s="1">
        <f>[1]Sheet2!N12</f>
        <v>0</v>
      </c>
      <c r="P13" s="1">
        <f>IF(ISNA(VLOOKUP(A13,'[1]Sheet1 (2)'!$A$682:$H$686,7,FALSE)),0,VLOOKUP(A13,'[1]Sheet1 (2)'!$A$682:$H$686,7,FALSE))</f>
        <v>150.07</v>
      </c>
      <c r="Q13" s="1">
        <f>'[1]Sheet1 (2)'!G692</f>
        <v>50.07</v>
      </c>
      <c r="R13" s="1">
        <f>'[1]Sheet1 (2)'!G713</f>
        <v>50.07</v>
      </c>
      <c r="S13" s="1">
        <f>'[1]Sheet1 (2)'!G106</f>
        <v>50.07</v>
      </c>
      <c r="T13" s="1"/>
      <c r="U13" s="1">
        <f>'[1]Sheet1 (2)'!G116+'[1]Sheet1 (2)'!G121</f>
        <v>150.13999999999999</v>
      </c>
      <c r="V13" s="1">
        <f>'[1]Sheet1 (2)'!G125+'[1]Sheet1 (2)'!G751</f>
        <v>100.14</v>
      </c>
      <c r="W13" s="1"/>
      <c r="X13" s="1">
        <f>'[1]Sheet1 (2)'!G145+'[1]Sheet1 (2)'!G143</f>
        <v>150.13999999999999</v>
      </c>
      <c r="Y13" s="1">
        <f>'[1]Sheet1 (2)'!G156</f>
        <v>50.07</v>
      </c>
      <c r="Z13" s="1"/>
      <c r="AA13" s="1">
        <f>'[1]Sheet1 (2)'!G170+'[1]Sheet1 (2)'!G175</f>
        <v>100.14</v>
      </c>
      <c r="AB13" s="1">
        <f>'[1]Sheet1 (2)'!G182</f>
        <v>50.07</v>
      </c>
      <c r="AC13" s="1">
        <f>'[1]Sheet1 (2)'!G192</f>
        <v>50.07</v>
      </c>
      <c r="AD13" s="1">
        <f>'[1]Sheet1 (2)'!G215</f>
        <v>50.07</v>
      </c>
      <c r="AE13" s="1">
        <f>'[1]Sheet1 (2)'!G232</f>
        <v>50.07</v>
      </c>
      <c r="AF13" s="1">
        <f>'[1]Sheet1 (2)'!G246</f>
        <v>50.07</v>
      </c>
      <c r="AG13" s="1">
        <f>'[1]Sheet1 (2)'!G277</f>
        <v>50.07</v>
      </c>
      <c r="AH13" s="1"/>
      <c r="AI13" s="1">
        <f>'[1]Sheet1 (2)'!G294</f>
        <v>100.07</v>
      </c>
      <c r="AJ13" s="1">
        <f>'[1]Sheet1 (2)'!G316</f>
        <v>50.07</v>
      </c>
      <c r="AK13" s="1">
        <f>'[1]Sheet1 (2)'!G343</f>
        <v>50.07</v>
      </c>
      <c r="AL13" s="1">
        <v>0</v>
      </c>
      <c r="AM13" s="1">
        <f>'[1]Sheet1 (2)'!G378</f>
        <v>100.07</v>
      </c>
      <c r="AN13" s="1">
        <f>'[1]Sheet1 (2)'!G392</f>
        <v>50.07</v>
      </c>
      <c r="AO13" s="1"/>
      <c r="AP13" s="1">
        <f>'[1]Sheet1 (2)'!G430</f>
        <v>100.07</v>
      </c>
      <c r="AQ13" s="1">
        <f>'[1]Sheet1 (2)'!G448</f>
        <v>50.07</v>
      </c>
      <c r="AR13" s="8">
        <v>78.462120957275289</v>
      </c>
      <c r="AS13" s="1">
        <v>0</v>
      </c>
      <c r="AT13" s="1">
        <f>'[1]Sheet1 (2)'!G483</f>
        <v>200.07</v>
      </c>
      <c r="AU13" s="1"/>
      <c r="AV13" s="1"/>
      <c r="AW13" s="1"/>
      <c r="AX13" s="1"/>
      <c r="AY13" s="1"/>
      <c r="AZ13" s="1"/>
      <c r="BA13" s="1"/>
      <c r="BB13" s="1"/>
      <c r="BD13" s="9">
        <f>SUM(F13:BB13)</f>
        <v>2530.9821209572751</v>
      </c>
      <c r="BE13" s="9">
        <f t="shared" si="1"/>
        <v>78.462120957275602</v>
      </c>
      <c r="BF13" s="9">
        <f t="shared" si="2"/>
        <v>1551.6799999999998</v>
      </c>
    </row>
    <row r="14" spans="1:58" x14ac:dyDescent="0.3">
      <c r="A14" s="10" t="s">
        <v>32</v>
      </c>
      <c r="B14" s="1">
        <f>[1]Sheet2!B13+[1]Saheed!C25+'[1]Sheet1 (2)'!G436</f>
        <v>4497.0200000000004</v>
      </c>
      <c r="C14" s="1">
        <v>-100</v>
      </c>
      <c r="D14" s="7">
        <f t="shared" si="3"/>
        <v>4397.0200000000004</v>
      </c>
      <c r="E14" s="7"/>
      <c r="F14" s="1"/>
      <c r="G14" s="1">
        <f>IF(ISNA(VLOOKUP(A14,'[1]Sheet1 (2)'!A$588:$H$593,7,FALSE)),0,VLOOKUP(A14,'[1]Sheet1 (2)'!A$588:$H$593,7,FALSE))</f>
        <v>1100</v>
      </c>
      <c r="H14" s="1">
        <f>IF(ISNA(VLOOKUP(A14,'[1]Sheet1 (2)'!$A$595:$H$607,7,FALSE)),0,(VLOOKUP(A14,'[1]Sheet1 (2)'!$A$595:$H$607,7,FALSE)))</f>
        <v>1000.05</v>
      </c>
      <c r="I14" s="1">
        <f>IF(ISNA(VLOOKUP(A14,'[1]Sheet1 (2)'!$A$609:$H$616,7,FALSE)),0,VLOOKUP(A14,'[1]Sheet1 (2)'!$A$609:$H$616,7,FALSE))</f>
        <v>1000.05</v>
      </c>
      <c r="J14" s="1">
        <f>IF(ISNA(VLOOKUP(A14,'[1]Sheet1 (2)'!$A$619:$H$630,7,FALSE)),0,VLOOKUP(A14,'[1]Sheet1 (2)'!$A$619:$H$630,7,FALSE))</f>
        <v>1000.05</v>
      </c>
      <c r="K14" s="1"/>
      <c r="L14" s="1"/>
      <c r="M14" s="1">
        <f>IF(ISNA(VLOOKUP(A14,'[1]Sheet1 (2)'!$A$650:$H$655,7,FALSE)),0,VLOOKUP(A14,'[1]Sheet1 (2)'!$A$650:$H$655,7,FALSE))</f>
        <v>0</v>
      </c>
      <c r="N14" s="1">
        <f>[1]Sheet2!M13</f>
        <v>0</v>
      </c>
      <c r="O14" s="1">
        <f>[1]Sheet2!N13</f>
        <v>100.05</v>
      </c>
      <c r="P14" s="1">
        <f>IF(ISNA(VLOOKUP(A14,'[1]Sheet1 (2)'!$A$682:$H$686,7,FALSE)),0,VLOOKUP(A14,'[1]Sheet1 (2)'!$A$682:$H$686,7,FALSE))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>
        <v>0</v>
      </c>
      <c r="AG14" s="1"/>
      <c r="AH14" s="1"/>
      <c r="AI14" s="1"/>
      <c r="AJ14" s="1"/>
      <c r="AK14" s="1"/>
      <c r="AL14" s="1">
        <v>0</v>
      </c>
      <c r="AM14" s="1">
        <v>0</v>
      </c>
      <c r="AN14" s="1">
        <f>[1]Saheed!C25</f>
        <v>196.81999999999971</v>
      </c>
      <c r="AO14" s="1"/>
      <c r="AP14" s="1">
        <v>0</v>
      </c>
      <c r="AQ14" s="1">
        <f>'[1]Sheet1 (2)'!G436</f>
        <v>100</v>
      </c>
      <c r="AR14" s="8">
        <v>160.28224353251355</v>
      </c>
      <c r="AS14" s="1">
        <v>0</v>
      </c>
      <c r="AT14" s="1">
        <f>'[1]Sheet1 (2)'!G469</f>
        <v>100</v>
      </c>
      <c r="AU14" s="1"/>
      <c r="AV14" s="1"/>
      <c r="AW14" s="1"/>
      <c r="AX14" s="1"/>
      <c r="AY14" s="1"/>
      <c r="AZ14" s="1"/>
      <c r="BA14" s="1"/>
      <c r="BB14" s="1"/>
      <c r="BD14" s="9">
        <f>SUM(F14:BB14)</f>
        <v>4757.3022435325138</v>
      </c>
      <c r="BE14" s="9">
        <f t="shared" si="1"/>
        <v>260.28224353251335</v>
      </c>
      <c r="BF14" s="9">
        <f t="shared" si="2"/>
        <v>4200.2000000000007</v>
      </c>
    </row>
    <row r="15" spans="1:58" x14ac:dyDescent="0.3">
      <c r="A15" t="s">
        <v>33</v>
      </c>
      <c r="B15" s="1">
        <v>500.18</v>
      </c>
      <c r="C15" s="1">
        <v>-100</v>
      </c>
      <c r="D15" s="7">
        <f t="shared" si="3"/>
        <v>400.18</v>
      </c>
      <c r="E15" s="7"/>
      <c r="F15" s="1"/>
      <c r="G15" s="1"/>
      <c r="H15" s="1"/>
      <c r="I15" s="1"/>
      <c r="J15" s="1"/>
      <c r="K15" s="1">
        <f>'[1]Sheet1 (2)'!G634</f>
        <v>200.18</v>
      </c>
      <c r="L15" s="1">
        <f>'[1]Sheet1 (2)'!G646</f>
        <v>300</v>
      </c>
      <c r="M15" s="1">
        <f>IF(ISNA(VLOOKUP(A15,'[1]Sheet1 (2)'!$A$650:$H$655,7,FALSE)),0,VLOOKUP(A15,'[1]Sheet1 (2)'!$A$650:$H$655,7,FALSE))</f>
        <v>0</v>
      </c>
      <c r="N15" s="1">
        <f>[1]Sheet2!M14</f>
        <v>0</v>
      </c>
      <c r="O15" s="1">
        <f>[1]Sheet2!N14</f>
        <v>0</v>
      </c>
      <c r="P15" s="1">
        <f>IF(ISNA(VLOOKUP(A15,'[1]Sheet1 (2)'!$A$682:$H$686,7,FALSE)),0,VLOOKUP(A15,'[1]Sheet1 (2)'!$A$682:$H$686,7,FALSE))</f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>
        <v>0</v>
      </c>
      <c r="AG15" s="1"/>
      <c r="AH15" s="1"/>
      <c r="AI15" s="1"/>
      <c r="AJ15" s="1"/>
      <c r="AK15" s="1"/>
      <c r="AL15" s="1">
        <v>0</v>
      </c>
      <c r="AM15" s="1">
        <v>0</v>
      </c>
      <c r="AN15" s="1"/>
      <c r="AO15" s="1"/>
      <c r="AP15" s="1">
        <v>0</v>
      </c>
      <c r="AQ15" s="1">
        <v>0</v>
      </c>
      <c r="AR15" s="8">
        <v>14.587549798918646</v>
      </c>
      <c r="AS15" s="1">
        <v>0</v>
      </c>
      <c r="AT15" s="1">
        <v>0</v>
      </c>
      <c r="AU15" s="1"/>
      <c r="AV15" s="1"/>
      <c r="AW15" s="1"/>
      <c r="AX15" s="1"/>
      <c r="AY15" s="1"/>
      <c r="AZ15" s="1"/>
      <c r="BA15" s="1"/>
      <c r="BB15" s="1"/>
      <c r="BC15" s="1"/>
      <c r="BD15" s="9">
        <f t="shared" ref="BD15:BD23" si="4">SUM(F15:BC15)</f>
        <v>514.76754979891871</v>
      </c>
      <c r="BE15" s="9">
        <f t="shared" si="1"/>
        <v>14.587549798918701</v>
      </c>
      <c r="BF15" s="9">
        <f t="shared" si="2"/>
        <v>500.18</v>
      </c>
    </row>
    <row r="16" spans="1:58" x14ac:dyDescent="0.3">
      <c r="A16" t="s">
        <v>34</v>
      </c>
      <c r="B16" s="1">
        <f>'[1]Sheet1 (2)'!G647</f>
        <v>200.1</v>
      </c>
      <c r="C16" s="1">
        <v>-100</v>
      </c>
      <c r="D16" s="7">
        <f t="shared" si="3"/>
        <v>100.1</v>
      </c>
      <c r="E16" s="7"/>
      <c r="F16" s="1"/>
      <c r="G16" s="1"/>
      <c r="H16" s="1"/>
      <c r="I16" s="1"/>
      <c r="J16" s="1"/>
      <c r="K16" s="1"/>
      <c r="L16" s="1">
        <f>'[1]Sheet1 (2)'!G647</f>
        <v>200.1</v>
      </c>
      <c r="M16" s="1">
        <f>IF(ISNA(VLOOKUP(A16,'[1]Sheet1 (2)'!$A$650:$H$655,7,FALSE)),0,VLOOKUP(A16,'[1]Sheet1 (2)'!$A$650:$H$655,7,FALSE))</f>
        <v>0</v>
      </c>
      <c r="N16" s="1">
        <f>[1]Sheet2!M15</f>
        <v>0</v>
      </c>
      <c r="O16" s="1">
        <f>[1]Sheet2!N15</f>
        <v>0</v>
      </c>
      <c r="P16" s="1">
        <f>IF(ISNA(VLOOKUP(A16,'[1]Sheet1 (2)'!$A$682:$H$686,7,FALSE)),0,VLOOKUP(A16,'[1]Sheet1 (2)'!$A$682:$H$686,7,FALSE))</f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>
        <v>0</v>
      </c>
      <c r="AG16" s="1"/>
      <c r="AH16" s="1"/>
      <c r="AI16" s="1"/>
      <c r="AJ16" s="1"/>
      <c r="AK16" s="1"/>
      <c r="AL16" s="1">
        <v>0</v>
      </c>
      <c r="AM16" s="1">
        <v>0</v>
      </c>
      <c r="AN16" s="1"/>
      <c r="AO16" s="1"/>
      <c r="AP16" s="1">
        <v>0</v>
      </c>
      <c r="AQ16" s="1">
        <v>0</v>
      </c>
      <c r="AR16" s="8">
        <v>3.6488923356283576</v>
      </c>
      <c r="AS16" s="1">
        <v>0</v>
      </c>
      <c r="AT16" s="1">
        <v>0</v>
      </c>
      <c r="AU16" s="1"/>
      <c r="AV16" s="1"/>
      <c r="AW16" s="1"/>
      <c r="AX16" s="1"/>
      <c r="AY16" s="1"/>
      <c r="AZ16" s="1"/>
      <c r="BA16" s="1"/>
      <c r="BB16" s="1"/>
      <c r="BC16" s="1"/>
      <c r="BD16" s="9">
        <f t="shared" si="4"/>
        <v>203.74889233562834</v>
      </c>
      <c r="BE16" s="9">
        <f t="shared" si="1"/>
        <v>3.6488923356283465</v>
      </c>
      <c r="BF16" s="9">
        <f t="shared" si="2"/>
        <v>200.1</v>
      </c>
    </row>
    <row r="17" spans="1:58" x14ac:dyDescent="0.3">
      <c r="A17" t="s">
        <v>35</v>
      </c>
      <c r="B17" s="11">
        <f>'[1]Sheet1 (2)'!H711</f>
        <v>350</v>
      </c>
      <c r="C17" s="11">
        <v>-100</v>
      </c>
      <c r="D17" s="12">
        <f t="shared" si="3"/>
        <v>250</v>
      </c>
      <c r="E17" s="12"/>
      <c r="F17" s="1"/>
      <c r="G17" s="1"/>
      <c r="H17" s="1"/>
      <c r="I17" s="1"/>
      <c r="J17" s="1"/>
      <c r="K17" s="1"/>
      <c r="L17" s="1"/>
      <c r="M17" s="1"/>
      <c r="N17" s="1"/>
      <c r="O17" s="11"/>
      <c r="P17" s="11">
        <f>IF(ISNA(VLOOKUP(A17,'[1]Sheet1 (2)'!$A$682:$H$686,7,FALSE)),0,VLOOKUP(A17,'[1]Sheet1 (2)'!$A$682:$H$686,7,FALSE))</f>
        <v>0</v>
      </c>
      <c r="Q17" s="1"/>
      <c r="R17" s="1">
        <v>150</v>
      </c>
      <c r="S17" s="1"/>
      <c r="T17" s="1"/>
      <c r="U17" s="1"/>
      <c r="V17" s="1">
        <f>'[1]Sheet1 (2)'!G750</f>
        <v>200</v>
      </c>
      <c r="W17" s="1"/>
      <c r="X17" s="1"/>
      <c r="Y17" s="1"/>
      <c r="Z17" s="1"/>
      <c r="AA17" s="1"/>
      <c r="AB17" s="1"/>
      <c r="AC17" s="11"/>
      <c r="AD17" s="1"/>
      <c r="AE17" s="1"/>
      <c r="AF17" s="1">
        <v>0</v>
      </c>
      <c r="AG17" s="1"/>
      <c r="AH17" s="1"/>
      <c r="AI17" s="1"/>
      <c r="AJ17" s="1"/>
      <c r="AK17" s="1"/>
      <c r="AL17" s="1">
        <v>0</v>
      </c>
      <c r="AM17" s="1">
        <v>0</v>
      </c>
      <c r="AN17" s="1"/>
      <c r="AO17" s="1"/>
      <c r="AP17" s="1">
        <v>0</v>
      </c>
      <c r="AQ17" s="1">
        <v>0</v>
      </c>
      <c r="AR17" s="8">
        <v>9.1131177213495445</v>
      </c>
      <c r="AS17" s="1">
        <v>0</v>
      </c>
      <c r="AT17" s="1">
        <v>0</v>
      </c>
      <c r="AU17" s="1"/>
      <c r="AV17" s="1"/>
      <c r="AW17" s="1"/>
      <c r="AX17" s="1"/>
      <c r="AY17" s="1"/>
      <c r="AZ17" s="1"/>
      <c r="BA17" s="1"/>
      <c r="BB17" s="1"/>
      <c r="BC17" s="1"/>
      <c r="BD17" s="9">
        <f t="shared" si="4"/>
        <v>359.11311772134957</v>
      </c>
      <c r="BE17" s="9">
        <f t="shared" si="1"/>
        <v>9.1131177213495675</v>
      </c>
      <c r="BF17" s="9">
        <f t="shared" si="2"/>
        <v>350</v>
      </c>
    </row>
    <row r="18" spans="1:58" x14ac:dyDescent="0.3">
      <c r="A18" t="s">
        <v>36</v>
      </c>
      <c r="B18" s="1">
        <f>'[1]Sheet1 (2)'!H206</f>
        <v>2717.5000000000005</v>
      </c>
      <c r="C18" s="11">
        <v>-100</v>
      </c>
      <c r="D18" s="12">
        <f t="shared" si="3"/>
        <v>2617.5000000000005</v>
      </c>
      <c r="E18" s="12"/>
      <c r="F18" s="1"/>
      <c r="G18" s="1"/>
      <c r="H18" s="1"/>
      <c r="I18" s="1"/>
      <c r="J18" s="1"/>
      <c r="K18" s="1"/>
      <c r="L18" s="1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>
        <f>'[1]Sheet1 (2)'!D196</f>
        <v>150</v>
      </c>
      <c r="AD18" s="1">
        <f>'[1]Sheet1 (2)'!G206</f>
        <v>316</v>
      </c>
      <c r="AE18" s="1">
        <f>'[1]Sheet1 (2)'!G221</f>
        <v>300.14999999999998</v>
      </c>
      <c r="AF18" s="1">
        <f>'[1]Sheet1 (2)'!G241</f>
        <v>300.14999999999998</v>
      </c>
      <c r="AG18" s="1">
        <f>'[1]Sheet1 (2)'!G269</f>
        <v>300.14999999999998</v>
      </c>
      <c r="AH18" s="1">
        <f>'[1]Sheet1 (2)'!G283</f>
        <v>300.14999999999998</v>
      </c>
      <c r="AI18" s="1">
        <f>'[1]Sheet1 (2)'!G299</f>
        <v>300.14999999999998</v>
      </c>
      <c r="AJ18" s="1">
        <f>'[1]Sheet1 (2)'!G326</f>
        <v>150.15</v>
      </c>
      <c r="AK18" s="1">
        <f>'[1]Sheet1 (2)'!G341</f>
        <v>150.15</v>
      </c>
      <c r="AL18" s="1">
        <f>'[1]Sheet1 (2)'!G358</f>
        <v>150.15</v>
      </c>
      <c r="AM18" s="1">
        <f>'[1]Sheet1 (2)'!G380</f>
        <v>150.15</v>
      </c>
      <c r="AN18" s="1">
        <f>'[1]Sheet1 (2)'!G399</f>
        <v>150.15</v>
      </c>
      <c r="AO18" s="1">
        <v>0</v>
      </c>
      <c r="AP18" s="1">
        <v>0</v>
      </c>
      <c r="AQ18" s="1">
        <v>0</v>
      </c>
      <c r="AR18" s="8">
        <v>95.414342542529752</v>
      </c>
      <c r="AS18" s="1">
        <v>0</v>
      </c>
      <c r="AT18" s="1">
        <f>'[1]Sheet1 (2)'!G482</f>
        <v>-1721.91</v>
      </c>
      <c r="AU18" s="1"/>
      <c r="AV18" s="1"/>
      <c r="AW18" s="1"/>
      <c r="AX18" s="1"/>
      <c r="AY18" s="1"/>
      <c r="AZ18" s="1"/>
      <c r="BA18" s="1"/>
      <c r="BB18" s="1"/>
      <c r="BC18" s="1"/>
      <c r="BD18" s="9">
        <f t="shared" si="4"/>
        <v>1091.0043425425299</v>
      </c>
      <c r="BE18" s="9">
        <f t="shared" si="1"/>
        <v>-1626.4956574574705</v>
      </c>
      <c r="BF18" s="9">
        <f t="shared" si="2"/>
        <v>150</v>
      </c>
    </row>
    <row r="19" spans="1:58" x14ac:dyDescent="0.3">
      <c r="A19" t="s">
        <v>37</v>
      </c>
      <c r="B19" s="1">
        <f>'[1]Sheet1 (2)'!H210</f>
        <v>902.54999999999984</v>
      </c>
      <c r="C19" s="11">
        <v>-100</v>
      </c>
      <c r="D19" s="12">
        <f t="shared" si="3"/>
        <v>802.54999999999984</v>
      </c>
      <c r="E19" s="12"/>
      <c r="F19" s="1"/>
      <c r="G19" s="1"/>
      <c r="H19" s="1"/>
      <c r="I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>
        <f>'[1]Sheet1 (2)'!D196</f>
        <v>150</v>
      </c>
      <c r="AD19" s="1">
        <f>'[1]Sheet1 (2)'!G210</f>
        <v>50.17</v>
      </c>
      <c r="AE19" s="1">
        <f>'[1]Sheet1 (2)'!G227</f>
        <v>50.17</v>
      </c>
      <c r="AF19" s="1">
        <f>'[1]Sheet1 (2)'!G257</f>
        <v>50.17</v>
      </c>
      <c r="AG19" s="1">
        <f>'[1]Sheet1 (2)'!G271</f>
        <v>50.17</v>
      </c>
      <c r="AH19" s="1">
        <f>'[1]Sheet1 (2)'!G289</f>
        <v>50.17</v>
      </c>
      <c r="AI19" s="1">
        <f>'[1]Sheet1 (2)'!G298</f>
        <v>50.17</v>
      </c>
      <c r="AJ19" s="1">
        <f>'[1]Sheet1 (2)'!G329</f>
        <v>50.17</v>
      </c>
      <c r="AK19" s="1">
        <f>'[1]Sheet1 (2)'!G346</f>
        <v>50.17</v>
      </c>
      <c r="AL19" s="1">
        <f>'[1]Sheet1 (2)'!G364</f>
        <v>50.17</v>
      </c>
      <c r="AM19" s="1">
        <f>'[1]Sheet1 (2)'!G374</f>
        <v>50.17</v>
      </c>
      <c r="AN19" s="1">
        <f>'[1]Sheet1 (2)'!G398</f>
        <v>50.17</v>
      </c>
      <c r="AO19" s="1">
        <f>'[1]Sheet1 (2)'!G410</f>
        <v>50.17</v>
      </c>
      <c r="AP19" s="1">
        <f>'[1]Sheet1 (2)'!G423</f>
        <v>50.17</v>
      </c>
      <c r="AQ19" s="1">
        <v>0</v>
      </c>
      <c r="AR19" s="8">
        <v>25.597289580435454</v>
      </c>
      <c r="AS19" s="1">
        <f>'[1]Sheet1 (2)'!G466+'[1]Sheet1 (2)'!G461</f>
        <v>100.34</v>
      </c>
      <c r="AT19" s="1">
        <v>0</v>
      </c>
      <c r="AU19" s="1"/>
      <c r="AV19" s="1"/>
      <c r="AW19" s="1"/>
      <c r="AX19" s="1"/>
      <c r="AY19" s="1"/>
      <c r="AZ19" s="1"/>
      <c r="BA19" s="1"/>
      <c r="BB19" s="1"/>
      <c r="BC19" s="1"/>
      <c r="BD19" s="9">
        <f t="shared" si="4"/>
        <v>928.14728958043543</v>
      </c>
      <c r="BE19" s="9">
        <f t="shared" si="1"/>
        <v>25.597289580435586</v>
      </c>
      <c r="BF19" s="9">
        <f t="shared" si="2"/>
        <v>150</v>
      </c>
    </row>
    <row r="20" spans="1:58" x14ac:dyDescent="0.3">
      <c r="A20" t="s">
        <v>38</v>
      </c>
      <c r="B20" s="1">
        <f>'[1]Sheet1 (2)'!H231</f>
        <v>650</v>
      </c>
      <c r="C20" s="11">
        <v>-100</v>
      </c>
      <c r="D20" s="12">
        <f t="shared" si="3"/>
        <v>550</v>
      </c>
      <c r="E20" s="12"/>
      <c r="F20" s="1"/>
      <c r="G20" s="1"/>
      <c r="H20" s="1"/>
      <c r="I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>
        <f>'[1]Sheet1 (2)'!D202</f>
        <v>150</v>
      </c>
      <c r="AD20" s="1"/>
      <c r="AE20" s="1">
        <f>'[1]Sheet1 (2)'!G231</f>
        <v>100</v>
      </c>
      <c r="AF20" s="1">
        <v>0</v>
      </c>
      <c r="AG20" s="1"/>
      <c r="AH20" s="1"/>
      <c r="AI20" s="1"/>
      <c r="AJ20" s="1">
        <f>'[1]Sheet1 (2)'!G322</f>
        <v>250</v>
      </c>
      <c r="AK20" s="1">
        <f>'[1]Sheet1 (2)'!G345</f>
        <v>50</v>
      </c>
      <c r="AL20" s="1">
        <v>0</v>
      </c>
      <c r="AM20" s="1">
        <v>0</v>
      </c>
      <c r="AN20" s="1">
        <f>'[1]Sheet1 (2)'!G397</f>
        <v>100</v>
      </c>
      <c r="AO20" s="1"/>
      <c r="AP20" s="1">
        <v>0</v>
      </c>
      <c r="AQ20" s="1">
        <v>0</v>
      </c>
      <c r="AR20" s="8">
        <v>20.048858986968998</v>
      </c>
      <c r="AS20" s="1">
        <v>0</v>
      </c>
      <c r="AT20" s="1">
        <v>0</v>
      </c>
      <c r="AU20" s="1"/>
      <c r="AV20" s="1"/>
      <c r="AW20" s="1"/>
      <c r="AX20" s="1"/>
      <c r="AY20" s="1"/>
      <c r="AZ20" s="1"/>
      <c r="BA20" s="1"/>
      <c r="BB20" s="1"/>
      <c r="BC20" s="1"/>
      <c r="BD20" s="9">
        <f t="shared" si="4"/>
        <v>670.04885898696898</v>
      </c>
      <c r="BE20" s="9">
        <f t="shared" si="1"/>
        <v>20.04885898696898</v>
      </c>
      <c r="BF20" s="9">
        <f t="shared" si="2"/>
        <v>150</v>
      </c>
    </row>
    <row r="21" spans="1:58" x14ac:dyDescent="0.3">
      <c r="A21" t="s">
        <v>39</v>
      </c>
      <c r="B21" s="1">
        <f>'[1]Sheet1 (2)'!H216</f>
        <v>590</v>
      </c>
      <c r="C21" s="11">
        <v>-100</v>
      </c>
      <c r="D21" s="12">
        <f t="shared" si="3"/>
        <v>490</v>
      </c>
      <c r="E21" s="12"/>
      <c r="F21" s="1"/>
      <c r="G21" s="1"/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>
        <f>'[1]Sheet1 (2)'!G216</f>
        <v>150</v>
      </c>
      <c r="AE21" s="1">
        <f>'[1]Sheet1 (2)'!G225</f>
        <v>240</v>
      </c>
      <c r="AF21" s="1">
        <f>'[1]Sheet1 (2)'!G245</f>
        <v>100</v>
      </c>
      <c r="AG21" s="1">
        <f>'[1]Sheet1 (2)'!G274</f>
        <v>100</v>
      </c>
      <c r="AH21" s="1"/>
      <c r="AI21" s="1"/>
      <c r="AJ21" s="1"/>
      <c r="AK21" s="1"/>
      <c r="AL21" s="1">
        <v>0</v>
      </c>
      <c r="AM21" s="1">
        <v>0</v>
      </c>
      <c r="AN21" s="1"/>
      <c r="AO21" s="1"/>
      <c r="AP21" s="1">
        <v>0</v>
      </c>
      <c r="AQ21" s="1">
        <v>0</v>
      </c>
      <c r="AR21" s="8">
        <v>0</v>
      </c>
      <c r="AS21" s="1">
        <v>0</v>
      </c>
      <c r="AT21" s="1">
        <v>0</v>
      </c>
      <c r="AU21" s="1"/>
      <c r="AV21" s="1"/>
      <c r="AW21" s="1"/>
      <c r="AX21" s="1"/>
      <c r="AY21" s="1"/>
      <c r="AZ21" s="1"/>
      <c r="BA21" s="1"/>
      <c r="BB21" s="1"/>
      <c r="BC21" s="1"/>
      <c r="BD21" s="9">
        <f t="shared" si="4"/>
        <v>590</v>
      </c>
      <c r="BE21" s="9">
        <f t="shared" si="1"/>
        <v>0</v>
      </c>
      <c r="BF21" s="9">
        <f t="shared" si="2"/>
        <v>0</v>
      </c>
    </row>
    <row r="22" spans="1:58" x14ac:dyDescent="0.3">
      <c r="A22" t="s">
        <v>40</v>
      </c>
      <c r="B22" s="1">
        <f>'[1]Sheet1 (2)'!H242</f>
        <v>800</v>
      </c>
      <c r="C22" s="11">
        <v>-100</v>
      </c>
      <c r="D22" s="12">
        <f t="shared" si="3"/>
        <v>700</v>
      </c>
      <c r="E22" s="12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>
        <f>'[1]Sheet1 (2)'!G242</f>
        <v>700</v>
      </c>
      <c r="AG22" s="1"/>
      <c r="AH22" s="1">
        <f>'[1]Sheet1 (2)'!G280</f>
        <v>100</v>
      </c>
      <c r="AI22" s="1"/>
      <c r="AJ22" s="1"/>
      <c r="AK22" s="1"/>
      <c r="AL22" s="1">
        <v>0</v>
      </c>
      <c r="AM22" s="1">
        <v>0</v>
      </c>
      <c r="AN22" s="1"/>
      <c r="AO22" s="1"/>
      <c r="AP22" s="1">
        <v>0</v>
      </c>
      <c r="AQ22" s="1">
        <v>0</v>
      </c>
      <c r="AR22" s="8">
        <v>25.516729619778726</v>
      </c>
      <c r="AS22" s="1">
        <v>0</v>
      </c>
      <c r="AT22" s="1">
        <v>0</v>
      </c>
      <c r="AU22" s="1"/>
      <c r="AV22" s="1"/>
      <c r="AW22" s="1"/>
      <c r="AX22" s="1"/>
      <c r="AY22" s="1"/>
      <c r="AZ22" s="1"/>
      <c r="BA22" s="1"/>
      <c r="BB22" s="1"/>
      <c r="BC22" s="1"/>
      <c r="BD22" s="9">
        <f t="shared" si="4"/>
        <v>825.51672961977874</v>
      </c>
      <c r="BE22" s="9">
        <f t="shared" si="1"/>
        <v>25.516729619778744</v>
      </c>
      <c r="BF22" s="9">
        <f t="shared" si="2"/>
        <v>0</v>
      </c>
    </row>
    <row r="23" spans="1:58" x14ac:dyDescent="0.3">
      <c r="A23" t="s">
        <v>41</v>
      </c>
      <c r="B23" s="1">
        <f>'[1]Sheet1 (2)'!H252</f>
        <v>750</v>
      </c>
      <c r="C23" s="11">
        <v>-100</v>
      </c>
      <c r="D23" s="12">
        <f t="shared" si="3"/>
        <v>650</v>
      </c>
      <c r="E23" s="12"/>
      <c r="AD23" s="1"/>
      <c r="AE23" s="1"/>
      <c r="AF23" s="1">
        <f>'[1]Sheet1 (2)'!G252</f>
        <v>100</v>
      </c>
      <c r="AG23" s="1">
        <f>'[1]Sheet1 (2)'!G272</f>
        <v>50</v>
      </c>
      <c r="AH23" s="1">
        <f>'[1]Sheet1 (2)'!G281</f>
        <v>50</v>
      </c>
      <c r="AI23" s="1">
        <f>'[1]Sheet1 (2)'!G304+'[1]Sheet1 (2)'!G295</f>
        <v>100</v>
      </c>
      <c r="AJ23" s="1">
        <f>'[1]Sheet1 (2)'!G312+'[1]Sheet1 (2)'!G320</f>
        <v>100</v>
      </c>
      <c r="AK23" s="1">
        <f>'[1]Sheet1 (2)'!G348</f>
        <v>50</v>
      </c>
      <c r="AL23" s="1">
        <f>'[1]Sheet1 (2)'!G361</f>
        <v>50</v>
      </c>
      <c r="AM23" s="1">
        <f>'[1]Sheet1 (2)'!G379</f>
        <v>50</v>
      </c>
      <c r="AN23" s="1">
        <f>'[1]Sheet1 (2)'!G393</f>
        <v>50</v>
      </c>
      <c r="AO23" s="1"/>
      <c r="AP23" s="1">
        <v>0</v>
      </c>
      <c r="AQ23" s="1">
        <v>0</v>
      </c>
      <c r="AR23" s="8">
        <v>18.226235442699089</v>
      </c>
      <c r="AS23" s="1">
        <f>'[1]Sheet1 (2)'!G454</f>
        <v>150</v>
      </c>
      <c r="AT23" s="1">
        <v>0</v>
      </c>
      <c r="AU23" s="1"/>
      <c r="AV23" s="1"/>
      <c r="AW23" s="1"/>
      <c r="AX23" s="1"/>
      <c r="AY23" s="1"/>
      <c r="AZ23" s="1"/>
      <c r="BA23" s="1"/>
      <c r="BB23" s="1"/>
      <c r="BC23" s="1"/>
      <c r="BD23" s="9">
        <f t="shared" si="4"/>
        <v>768.22623544269914</v>
      </c>
      <c r="BE23" s="9">
        <f t="shared" si="1"/>
        <v>18.226235442699135</v>
      </c>
      <c r="BF23" s="9">
        <f t="shared" si="2"/>
        <v>0</v>
      </c>
    </row>
    <row r="24" spans="1:58" x14ac:dyDescent="0.3">
      <c r="A24" t="s">
        <v>42</v>
      </c>
      <c r="B24" s="11">
        <f>'[1]Sheet1 (2)'!H349</f>
        <v>1000</v>
      </c>
      <c r="C24" s="11">
        <v>-100</v>
      </c>
      <c r="D24" s="12">
        <f t="shared" si="3"/>
        <v>900</v>
      </c>
      <c r="E24" s="12"/>
      <c r="O24" s="11"/>
      <c r="AC24" s="11"/>
      <c r="AD24" s="11"/>
      <c r="AE24" s="11"/>
      <c r="AF24" s="11"/>
      <c r="AG24" s="11"/>
      <c r="AH24" s="11"/>
      <c r="AI24" s="11"/>
      <c r="AJ24" s="11"/>
      <c r="AK24" s="11">
        <f>'[1]Sheet1 (2)'!G349</f>
        <v>200</v>
      </c>
      <c r="AL24" s="11">
        <f>'[1]Sheet1 (2)'!G368</f>
        <v>100</v>
      </c>
      <c r="AM24" s="11">
        <v>0</v>
      </c>
      <c r="AN24" s="11">
        <f>'[1]Sheet1 (2)'!G391+'[1]Sheet1 (2)'!G404</f>
        <v>200</v>
      </c>
      <c r="AO24" s="11">
        <f>'[1]Sheet1 (2)'!G412</f>
        <v>100</v>
      </c>
      <c r="AP24" s="11">
        <f>'[1]Sheet1 (2)'!G428</f>
        <v>100</v>
      </c>
      <c r="AQ24" s="11">
        <f>'[1]Sheet1 (2)'!G450</f>
        <v>100</v>
      </c>
      <c r="AR24" s="8">
        <v>25.516729619778726</v>
      </c>
      <c r="AS24" s="11">
        <f>'[1]Sheet1 (2)'!G460</f>
        <v>100</v>
      </c>
      <c r="AT24" s="11">
        <f>'[1]Sheet1 (2)'!G476</f>
        <v>100</v>
      </c>
      <c r="AU24" s="11"/>
      <c r="AV24" s="11"/>
      <c r="AW24" s="11"/>
      <c r="AX24" s="11"/>
      <c r="AY24" s="11"/>
      <c r="AZ24" s="11"/>
      <c r="BA24" s="11"/>
      <c r="BB24" s="11"/>
      <c r="BD24" s="9">
        <f>SUM(F24:BB24)</f>
        <v>1025.5167296197787</v>
      </c>
      <c r="BE24" s="9">
        <f t="shared" si="1"/>
        <v>25.516729619778744</v>
      </c>
      <c r="BF24" s="9">
        <f t="shared" si="2"/>
        <v>0</v>
      </c>
    </row>
    <row r="25" spans="1:58" x14ac:dyDescent="0.3">
      <c r="A25" t="s">
        <v>43</v>
      </c>
      <c r="B25" s="11">
        <f>'[1]Sheet1 (2)'!H362</f>
        <v>150</v>
      </c>
      <c r="C25" s="11">
        <v>-100</v>
      </c>
      <c r="D25" s="12">
        <f t="shared" si="3"/>
        <v>50</v>
      </c>
      <c r="E25" s="12"/>
      <c r="O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>
        <f>'[1]Sheet1 (2)'!G362</f>
        <v>150</v>
      </c>
      <c r="AM25" s="11">
        <v>0</v>
      </c>
      <c r="AN25" s="11"/>
      <c r="AO25" s="11"/>
      <c r="AP25" s="1">
        <v>0</v>
      </c>
      <c r="AQ25" s="1">
        <v>0</v>
      </c>
      <c r="AR25" s="13">
        <v>1.822623544269909</v>
      </c>
      <c r="AS25" s="11">
        <v>0</v>
      </c>
      <c r="AT25" s="11">
        <v>0</v>
      </c>
      <c r="AU25" s="11"/>
      <c r="AV25" s="11"/>
      <c r="AW25" s="11"/>
      <c r="AX25" s="11"/>
      <c r="AY25" s="11"/>
      <c r="AZ25" s="11"/>
      <c r="BA25" s="11"/>
      <c r="BB25" s="11"/>
      <c r="BD25" s="9">
        <f>SUM(F25:BB25)</f>
        <v>151.8226235442699</v>
      </c>
      <c r="BE25" s="9">
        <f t="shared" si="1"/>
        <v>1.8226235442699021</v>
      </c>
      <c r="BF25" s="9">
        <f t="shared" si="2"/>
        <v>0</v>
      </c>
    </row>
    <row r="26" spans="1:58" x14ac:dyDescent="0.3">
      <c r="A26" t="s">
        <v>44</v>
      </c>
      <c r="B26" s="11">
        <f>'[1]Sheet1 (2)'!H367</f>
        <v>850</v>
      </c>
      <c r="C26" s="11">
        <v>-100</v>
      </c>
      <c r="D26" s="12">
        <f t="shared" si="3"/>
        <v>750</v>
      </c>
      <c r="E26" s="12"/>
      <c r="O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>
        <f>'[1]Sheet1 (2)'!G367</f>
        <v>150</v>
      </c>
      <c r="AM26" s="11">
        <f>'[1]Sheet1 (2)'!G373</f>
        <v>100</v>
      </c>
      <c r="AN26" s="11">
        <f>'[1]Sheet1 (2)'!G390</f>
        <v>100</v>
      </c>
      <c r="AO26" s="11">
        <f>'[1]Sheet1 (2)'!G409</f>
        <v>100</v>
      </c>
      <c r="AP26" s="11">
        <f>'[1]Sheet1 (2)'!G422</f>
        <v>100</v>
      </c>
      <c r="AQ26" s="11">
        <f>'[1]Sheet1 (2)'!G434</f>
        <v>100</v>
      </c>
      <c r="AR26" s="8">
        <v>20.048858986968998</v>
      </c>
      <c r="AS26" s="11">
        <f>'[1]Sheet1 (2)'!G453</f>
        <v>100</v>
      </c>
      <c r="AT26" s="11">
        <f>'[1]Sheet1 (2)'!G470</f>
        <v>100</v>
      </c>
      <c r="AU26" s="11"/>
      <c r="AV26" s="11"/>
      <c r="AW26" s="11"/>
      <c r="AX26" s="11"/>
      <c r="AY26" s="11"/>
      <c r="AZ26" s="11"/>
      <c r="BA26" s="11"/>
      <c r="BB26" s="11"/>
      <c r="BD26" s="9">
        <f>SUM(F26:BB26)</f>
        <v>870.04885898696898</v>
      </c>
      <c r="BE26" s="9">
        <f t="shared" si="1"/>
        <v>20.04885898696898</v>
      </c>
      <c r="BF26" s="9">
        <f t="shared" si="2"/>
        <v>0</v>
      </c>
    </row>
    <row r="27" spans="1:58" x14ac:dyDescent="0.3">
      <c r="B27" s="11"/>
      <c r="C27" s="11"/>
      <c r="D27" s="12"/>
      <c r="E27" s="12"/>
      <c r="O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9"/>
      <c r="BE27" s="9"/>
    </row>
    <row r="28" spans="1:58" x14ac:dyDescent="0.3">
      <c r="B28" s="11"/>
      <c r="C28" s="11"/>
      <c r="D28" s="12"/>
      <c r="E28" s="12"/>
      <c r="O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9"/>
      <c r="BE28" s="9"/>
    </row>
    <row r="29" spans="1:58" x14ac:dyDescent="0.3">
      <c r="B29" s="11"/>
      <c r="C29" s="11"/>
      <c r="D29" s="12"/>
      <c r="E29" s="12"/>
      <c r="O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9">
        <f>SUM(F29:AO29)</f>
        <v>0</v>
      </c>
      <c r="BE29" s="9">
        <f>BD29-B29</f>
        <v>0</v>
      </c>
    </row>
    <row r="30" spans="1:58" x14ac:dyDescent="0.3">
      <c r="B30" s="14"/>
      <c r="C30" s="14"/>
      <c r="D30" s="15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4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7"/>
      <c r="BE30" s="17"/>
      <c r="BF30" s="16"/>
    </row>
    <row r="31" spans="1:58" x14ac:dyDescent="0.3">
      <c r="A31" s="18" t="s">
        <v>45</v>
      </c>
      <c r="B31" s="19">
        <f>SUM(B3:B30)</f>
        <v>39505.500000000007</v>
      </c>
      <c r="C31" s="19">
        <f t="shared" ref="C31:BF31" si="5">SUM(C3:C30)</f>
        <v>-2400</v>
      </c>
      <c r="D31" s="19">
        <f t="shared" si="5"/>
        <v>37105.500000000007</v>
      </c>
      <c r="E31" s="19">
        <f t="shared" si="5"/>
        <v>0</v>
      </c>
      <c r="F31" s="19">
        <f t="shared" si="5"/>
        <v>100</v>
      </c>
      <c r="G31" s="19">
        <f t="shared" si="5"/>
        <v>2000.24</v>
      </c>
      <c r="H31" s="19">
        <f t="shared" si="5"/>
        <v>2658.67</v>
      </c>
      <c r="I31" s="19">
        <f t="shared" si="5"/>
        <v>1650.3</v>
      </c>
      <c r="J31" s="19">
        <f t="shared" si="5"/>
        <v>2000.74</v>
      </c>
      <c r="K31" s="19">
        <f t="shared" si="5"/>
        <v>700.56</v>
      </c>
      <c r="L31" s="19">
        <f t="shared" si="5"/>
        <v>1500.47</v>
      </c>
      <c r="M31" s="19">
        <f t="shared" si="5"/>
        <v>350.21000000000004</v>
      </c>
      <c r="N31" s="19">
        <f t="shared" si="5"/>
        <v>650.45000000000005</v>
      </c>
      <c r="O31" s="19">
        <f t="shared" si="5"/>
        <v>750.35</v>
      </c>
      <c r="P31" s="19">
        <f t="shared" si="5"/>
        <v>400.31</v>
      </c>
      <c r="Q31" s="19">
        <f t="shared" si="5"/>
        <v>750.40000000000009</v>
      </c>
      <c r="R31" s="19">
        <f t="shared" si="5"/>
        <v>600.28</v>
      </c>
      <c r="S31" s="19">
        <f t="shared" si="5"/>
        <v>850.44</v>
      </c>
      <c r="T31" s="19">
        <f t="shared" si="5"/>
        <v>300.14999999999998</v>
      </c>
      <c r="U31" s="19">
        <f t="shared" si="5"/>
        <v>500.38</v>
      </c>
      <c r="V31" s="19">
        <f t="shared" si="5"/>
        <v>1050.47</v>
      </c>
      <c r="W31" s="19">
        <f t="shared" si="5"/>
        <v>500.19</v>
      </c>
      <c r="X31" s="19">
        <f t="shared" si="5"/>
        <v>550.29</v>
      </c>
      <c r="Y31" s="19">
        <f t="shared" si="5"/>
        <v>550.31000000000006</v>
      </c>
      <c r="Z31" s="19">
        <f t="shared" si="5"/>
        <v>450.28000000000003</v>
      </c>
      <c r="AA31" s="19">
        <f t="shared" si="5"/>
        <v>450.38</v>
      </c>
      <c r="AB31" s="19">
        <f t="shared" si="5"/>
        <v>450.31</v>
      </c>
      <c r="AC31" s="19">
        <f t="shared" si="5"/>
        <v>1100.31</v>
      </c>
      <c r="AD31" s="19">
        <f t="shared" si="5"/>
        <v>1022.41</v>
      </c>
      <c r="AE31" s="19">
        <f t="shared" si="5"/>
        <v>1440.8200000000002</v>
      </c>
      <c r="AF31" s="19">
        <f t="shared" si="5"/>
        <v>1970.73</v>
      </c>
      <c r="AG31" s="19">
        <f t="shared" si="5"/>
        <v>1200.67</v>
      </c>
      <c r="AH31" s="19">
        <f t="shared" si="5"/>
        <v>1050.5999999999999</v>
      </c>
      <c r="AI31" s="19">
        <f t="shared" si="5"/>
        <v>1200.67</v>
      </c>
      <c r="AJ31" s="19">
        <f t="shared" si="5"/>
        <v>1300.73</v>
      </c>
      <c r="AK31" s="19">
        <f t="shared" si="5"/>
        <v>1150.73</v>
      </c>
      <c r="AL31" s="19">
        <f t="shared" si="5"/>
        <v>1200.6599999999999</v>
      </c>
      <c r="AM31" s="19">
        <f t="shared" si="5"/>
        <v>1150.73</v>
      </c>
      <c r="AN31" s="19">
        <f t="shared" si="5"/>
        <v>1347.5499999999997</v>
      </c>
      <c r="AO31" s="19">
        <f t="shared" si="5"/>
        <v>700.51</v>
      </c>
      <c r="AP31" s="19">
        <f t="shared" si="5"/>
        <v>800.58</v>
      </c>
      <c r="AQ31" s="19">
        <f t="shared" si="5"/>
        <v>850.32</v>
      </c>
      <c r="AR31" s="19">
        <f t="shared" si="5"/>
        <v>1252.6600000000003</v>
      </c>
      <c r="AS31" s="19">
        <f t="shared" si="5"/>
        <v>1200.83</v>
      </c>
      <c r="AT31" s="19">
        <f t="shared" si="5"/>
        <v>-571.44000000000005</v>
      </c>
      <c r="AU31" s="19"/>
      <c r="AV31" s="19"/>
      <c r="AW31" s="19"/>
      <c r="AX31" s="19"/>
      <c r="AY31" s="19"/>
      <c r="AZ31" s="19"/>
      <c r="BA31" s="19"/>
      <c r="BB31" s="19"/>
      <c r="BC31" s="19"/>
      <c r="BD31" s="19">
        <f t="shared" si="5"/>
        <v>39136.250000000007</v>
      </c>
      <c r="BE31" s="19">
        <f t="shared" si="5"/>
        <v>-369.25000000000006</v>
      </c>
      <c r="BF31" s="19">
        <f t="shared" si="5"/>
        <v>20866.489999999998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Yinka Daramola</cp:lastModifiedBy>
  <dcterms:created xsi:type="dcterms:W3CDTF">2026-06-11T02:25:55Z</dcterms:created>
  <dcterms:modified xsi:type="dcterms:W3CDTF">2026-06-11T02:26:50Z</dcterms:modified>
</cp:coreProperties>
</file>