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sti\Desktop\"/>
    </mc:Choice>
  </mc:AlternateContent>
  <bookViews>
    <workbookView xWindow="0" yWindow="0" windowWidth="28800" windowHeight="12885"/>
  </bookViews>
  <sheets>
    <sheet name="Sheet1 (2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47" i="1" l="1"/>
  <c r="G746" i="1"/>
  <c r="G745" i="1"/>
  <c r="H744" i="1"/>
  <c r="G744" i="1"/>
  <c r="G743" i="1"/>
  <c r="G742" i="1"/>
  <c r="G741" i="1"/>
  <c r="G737" i="1"/>
  <c r="G736" i="1"/>
  <c r="H735" i="1"/>
  <c r="G734" i="1"/>
  <c r="G733" i="1"/>
  <c r="G732" i="1"/>
  <c r="G731" i="1"/>
  <c r="G730" i="1"/>
  <c r="G728" i="1"/>
  <c r="G727" i="1"/>
  <c r="G726" i="1"/>
  <c r="G725" i="1"/>
  <c r="G724" i="1"/>
  <c r="G722" i="1"/>
  <c r="G721" i="1"/>
  <c r="G720" i="1"/>
  <c r="G719" i="1"/>
  <c r="G718" i="1"/>
  <c r="G717" i="1"/>
  <c r="G716" i="1"/>
  <c r="G715" i="1"/>
  <c r="G714" i="1"/>
  <c r="G713" i="1"/>
  <c r="G712" i="1"/>
  <c r="G709" i="1"/>
  <c r="G708" i="1"/>
  <c r="G707" i="1"/>
  <c r="G706" i="1"/>
  <c r="G705" i="1"/>
  <c r="G704" i="1"/>
  <c r="G701" i="1"/>
  <c r="G700" i="1"/>
  <c r="G699" i="1"/>
  <c r="G695" i="1"/>
  <c r="G694" i="1"/>
  <c r="G693" i="1"/>
  <c r="G692" i="1"/>
  <c r="G691" i="1"/>
  <c r="G690" i="1"/>
  <c r="G689" i="1"/>
  <c r="G688" i="1"/>
  <c r="G685" i="1"/>
  <c r="H684" i="1"/>
  <c r="G684" i="1"/>
  <c r="G683" i="1"/>
  <c r="G682" i="1"/>
  <c r="G681" i="1"/>
  <c r="G680" i="1"/>
  <c r="G679" i="1"/>
  <c r="G672" i="1"/>
  <c r="G670" i="1"/>
  <c r="G667" i="1"/>
  <c r="G666" i="1"/>
  <c r="G665" i="1"/>
  <c r="G664" i="1"/>
  <c r="G663" i="1"/>
  <c r="G662" i="1"/>
  <c r="G661" i="1"/>
  <c r="G660" i="1"/>
  <c r="G656" i="1"/>
  <c r="G655" i="1"/>
  <c r="G654" i="1"/>
  <c r="G653" i="1"/>
  <c r="G649" i="1"/>
  <c r="G648" i="1"/>
  <c r="G647" i="1"/>
  <c r="G646" i="1"/>
  <c r="H645" i="1"/>
  <c r="G645" i="1"/>
  <c r="G644" i="1"/>
  <c r="G643" i="1"/>
  <c r="G639" i="1"/>
  <c r="G638" i="1"/>
  <c r="G635" i="1"/>
  <c r="G634" i="1"/>
  <c r="G633" i="1"/>
  <c r="G632" i="1"/>
  <c r="G625" i="1"/>
  <c r="G623" i="1"/>
  <c r="G622" i="1"/>
  <c r="G621" i="1"/>
  <c r="G617" i="1"/>
  <c r="G616" i="1"/>
  <c r="G615" i="1"/>
  <c r="G614" i="1"/>
  <c r="G613" i="1"/>
  <c r="G612" i="1"/>
  <c r="G611" i="1"/>
  <c r="G610" i="1"/>
  <c r="G607" i="1"/>
  <c r="G606" i="1"/>
  <c r="G605" i="1"/>
  <c r="G604" i="1"/>
  <c r="G603" i="1"/>
  <c r="G602" i="1"/>
  <c r="G601" i="1"/>
  <c r="G599" i="1"/>
  <c r="G598" i="1"/>
  <c r="G597" i="1"/>
  <c r="G596" i="1"/>
  <c r="G595" i="1"/>
  <c r="G594" i="1"/>
  <c r="G593" i="1"/>
  <c r="G592" i="1"/>
  <c r="G591" i="1"/>
  <c r="G590" i="1"/>
  <c r="G589" i="1"/>
  <c r="G586" i="1"/>
  <c r="G585" i="1"/>
  <c r="G584" i="1"/>
  <c r="G583" i="1"/>
  <c r="G582" i="1"/>
  <c r="G581" i="1"/>
  <c r="G580" i="1"/>
  <c r="G579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3" i="1"/>
  <c r="G562" i="1"/>
  <c r="G561" i="1"/>
  <c r="G560" i="1"/>
  <c r="G559" i="1"/>
  <c r="G558" i="1"/>
  <c r="G484" i="1"/>
  <c r="G483" i="1"/>
  <c r="G482" i="1"/>
  <c r="H481" i="1"/>
  <c r="G481" i="1"/>
  <c r="G480" i="1"/>
  <c r="H479" i="1"/>
  <c r="G479" i="1"/>
  <c r="H478" i="1"/>
  <c r="G478" i="1"/>
  <c r="G477" i="1"/>
  <c r="G476" i="1"/>
  <c r="G475" i="1"/>
  <c r="G474" i="1"/>
  <c r="H473" i="1"/>
  <c r="G473" i="1"/>
  <c r="H472" i="1"/>
  <c r="G472" i="1"/>
  <c r="G471" i="1"/>
  <c r="G470" i="1"/>
  <c r="G469" i="1"/>
  <c r="G468" i="1"/>
  <c r="G466" i="1"/>
  <c r="G465" i="1"/>
  <c r="G464" i="1"/>
  <c r="G463" i="1"/>
  <c r="G462" i="1"/>
  <c r="H461" i="1"/>
  <c r="G461" i="1"/>
  <c r="G460" i="1"/>
  <c r="G459" i="1"/>
  <c r="G458" i="1"/>
  <c r="G457" i="1"/>
  <c r="H456" i="1"/>
  <c r="G456" i="1"/>
  <c r="G455" i="1"/>
  <c r="G454" i="1"/>
  <c r="G453" i="1"/>
  <c r="G452" i="1"/>
  <c r="G451" i="1"/>
  <c r="G449" i="1"/>
  <c r="G447" i="1"/>
  <c r="G445" i="1"/>
  <c r="G441" i="1"/>
  <c r="G440" i="1"/>
  <c r="G439" i="1"/>
  <c r="G438" i="1"/>
  <c r="G436" i="1"/>
  <c r="G435" i="1"/>
  <c r="G434" i="1"/>
  <c r="G433" i="1"/>
  <c r="G431" i="1"/>
  <c r="G430" i="1"/>
  <c r="G429" i="1"/>
  <c r="H428" i="1"/>
  <c r="G427" i="1"/>
  <c r="G426" i="1"/>
  <c r="G425" i="1"/>
  <c r="H424" i="1"/>
  <c r="G423" i="1"/>
  <c r="G422" i="1"/>
  <c r="G421" i="1"/>
  <c r="H420" i="1"/>
  <c r="H418" i="1"/>
  <c r="G418" i="1"/>
  <c r="G417" i="1"/>
  <c r="G416" i="1"/>
  <c r="H415" i="1"/>
  <c r="G415" i="1"/>
  <c r="G414" i="1"/>
  <c r="G413" i="1"/>
  <c r="H412" i="1"/>
  <c r="G412" i="1"/>
  <c r="G411" i="1"/>
  <c r="G410" i="1"/>
  <c r="G409" i="1"/>
  <c r="G408" i="1"/>
  <c r="G404" i="1"/>
  <c r="G403" i="1"/>
  <c r="H402" i="1"/>
  <c r="G402" i="1"/>
  <c r="G401" i="1"/>
  <c r="G400" i="1"/>
  <c r="G399" i="1"/>
  <c r="G398" i="1"/>
  <c r="G397" i="1"/>
  <c r="G396" i="1"/>
  <c r="G395" i="1"/>
  <c r="H394" i="1"/>
  <c r="G394" i="1"/>
  <c r="H393" i="1"/>
  <c r="G393" i="1"/>
  <c r="G392" i="1"/>
  <c r="G391" i="1"/>
  <c r="G390" i="1"/>
  <c r="G389" i="1"/>
  <c r="G385" i="1"/>
  <c r="H384" i="1"/>
  <c r="G384" i="1"/>
  <c r="G383" i="1"/>
  <c r="G382" i="1"/>
  <c r="G381" i="1"/>
  <c r="G380" i="1"/>
  <c r="G379" i="1"/>
  <c r="G378" i="1"/>
  <c r="G377" i="1"/>
  <c r="G376" i="1"/>
  <c r="G375" i="1"/>
  <c r="H374" i="1"/>
  <c r="G374" i="1"/>
  <c r="G373" i="1"/>
  <c r="G372" i="1"/>
  <c r="G368" i="1"/>
  <c r="G367" i="1"/>
  <c r="G366" i="1"/>
  <c r="H365" i="1"/>
  <c r="G365" i="1"/>
  <c r="H364" i="1"/>
  <c r="G364" i="1"/>
  <c r="G363" i="1"/>
  <c r="G362" i="1"/>
  <c r="G361" i="1"/>
  <c r="H361" i="1" s="1"/>
  <c r="G360" i="1"/>
  <c r="G359" i="1"/>
  <c r="G358" i="1"/>
  <c r="G357" i="1"/>
  <c r="H356" i="1"/>
  <c r="G356" i="1"/>
  <c r="G355" i="1"/>
  <c r="G354" i="1"/>
  <c r="H353" i="1"/>
  <c r="G353" i="1"/>
  <c r="H352" i="1"/>
  <c r="G352" i="1"/>
  <c r="G349" i="1"/>
  <c r="G348" i="1"/>
  <c r="G347" i="1"/>
  <c r="H346" i="1"/>
  <c r="G346" i="1"/>
  <c r="G345" i="1"/>
  <c r="G344" i="1"/>
  <c r="G343" i="1"/>
  <c r="G342" i="1"/>
  <c r="G341" i="1"/>
  <c r="G340" i="1"/>
  <c r="H339" i="1"/>
  <c r="G339" i="1"/>
  <c r="H338" i="1"/>
  <c r="G338" i="1"/>
  <c r="G337" i="1"/>
  <c r="G336" i="1"/>
  <c r="H335" i="1"/>
  <c r="G335" i="1"/>
  <c r="G334" i="1"/>
  <c r="H333" i="1"/>
  <c r="G333" i="1"/>
  <c r="H332" i="1"/>
  <c r="G332" i="1"/>
  <c r="H331" i="1"/>
  <c r="G331" i="1"/>
  <c r="G328" i="1"/>
  <c r="H327" i="1"/>
  <c r="G327" i="1"/>
  <c r="G326" i="1"/>
  <c r="G325" i="1"/>
  <c r="H324" i="1"/>
  <c r="G324" i="1"/>
  <c r="H323" i="1"/>
  <c r="G323" i="1"/>
  <c r="G322" i="1"/>
  <c r="G321" i="1"/>
  <c r="H320" i="1"/>
  <c r="G320" i="1"/>
  <c r="G319" i="1"/>
  <c r="H318" i="1"/>
  <c r="G318" i="1"/>
  <c r="G317" i="1"/>
  <c r="G316" i="1"/>
  <c r="G315" i="1"/>
  <c r="G314" i="1"/>
  <c r="G313" i="1"/>
  <c r="G312" i="1"/>
  <c r="G311" i="1"/>
  <c r="H310" i="1"/>
  <c r="G310" i="1"/>
  <c r="G307" i="1"/>
  <c r="H306" i="1"/>
  <c r="G306" i="1"/>
  <c r="H305" i="1"/>
  <c r="G305" i="1"/>
  <c r="H304" i="1"/>
  <c r="G304" i="1"/>
  <c r="G303" i="1"/>
  <c r="G302" i="1"/>
  <c r="G301" i="1"/>
  <c r="G300" i="1"/>
  <c r="G299" i="1"/>
  <c r="G298" i="1"/>
  <c r="G297" i="1"/>
  <c r="G296" i="1"/>
  <c r="H295" i="1"/>
  <c r="G295" i="1"/>
  <c r="G294" i="1"/>
  <c r="G293" i="1"/>
  <c r="H292" i="1"/>
  <c r="G292" i="1"/>
  <c r="G289" i="1"/>
  <c r="G288" i="1"/>
  <c r="G287" i="1"/>
  <c r="H286" i="1"/>
  <c r="G286" i="1"/>
  <c r="G285" i="1"/>
  <c r="G284" i="1"/>
  <c r="G283" i="1"/>
  <c r="G282" i="1"/>
  <c r="H281" i="1"/>
  <c r="G281" i="1"/>
  <c r="G280" i="1"/>
  <c r="G279" i="1"/>
  <c r="H278" i="1"/>
  <c r="G278" i="1"/>
  <c r="G276" i="1"/>
  <c r="E276" i="1"/>
  <c r="G275" i="1"/>
  <c r="H274" i="1"/>
  <c r="G274" i="1"/>
  <c r="G273" i="1"/>
  <c r="H272" i="1"/>
  <c r="G272" i="1"/>
  <c r="G271" i="1"/>
  <c r="G270" i="1"/>
  <c r="G269" i="1"/>
  <c r="G268" i="1"/>
  <c r="G267" i="1"/>
  <c r="G266" i="1"/>
  <c r="G265" i="1"/>
  <c r="G264" i="1"/>
  <c r="H263" i="1"/>
  <c r="G263" i="1"/>
  <c r="H262" i="1"/>
  <c r="G262" i="1"/>
  <c r="H261" i="1"/>
  <c r="G261" i="1"/>
  <c r="G259" i="1"/>
  <c r="G258" i="1"/>
  <c r="H257" i="1"/>
  <c r="G257" i="1"/>
  <c r="G256" i="1"/>
  <c r="G255" i="1"/>
  <c r="H254" i="1"/>
  <c r="G254" i="1"/>
  <c r="H253" i="1"/>
  <c r="G253" i="1"/>
  <c r="G252" i="1"/>
  <c r="G251" i="1"/>
  <c r="G250" i="1"/>
  <c r="H249" i="1"/>
  <c r="G249" i="1"/>
  <c r="H248" i="1"/>
  <c r="G248" i="1"/>
  <c r="H247" i="1"/>
  <c r="G247" i="1"/>
  <c r="H246" i="1"/>
  <c r="G246" i="1"/>
  <c r="G245" i="1"/>
  <c r="G244" i="1"/>
  <c r="G243" i="1"/>
  <c r="G242" i="1"/>
  <c r="G241" i="1"/>
  <c r="H279" i="1" s="1"/>
  <c r="G240" i="1"/>
  <c r="H268" i="1" s="1"/>
  <c r="G239" i="1"/>
  <c r="G235" i="1"/>
  <c r="G234" i="1"/>
  <c r="H233" i="1"/>
  <c r="G232" i="1"/>
  <c r="G231" i="1"/>
  <c r="G230" i="1"/>
  <c r="G229" i="1"/>
  <c r="G227" i="1"/>
  <c r="G226" i="1"/>
  <c r="G225" i="1"/>
  <c r="G224" i="1"/>
  <c r="G221" i="1"/>
  <c r="G220" i="1"/>
  <c r="G216" i="1"/>
  <c r="G215" i="1"/>
  <c r="G214" i="1"/>
  <c r="E214" i="1"/>
  <c r="E215" i="1" s="1"/>
  <c r="E216" i="1" s="1"/>
  <c r="G213" i="1"/>
  <c r="H212" i="1"/>
  <c r="G212" i="1"/>
  <c r="G211" i="1"/>
  <c r="G210" i="1"/>
  <c r="G209" i="1"/>
  <c r="H208" i="1"/>
  <c r="G208" i="1"/>
  <c r="G207" i="1"/>
  <c r="H206" i="1"/>
  <c r="G206" i="1"/>
  <c r="G205" i="1"/>
  <c r="H204" i="1"/>
  <c r="G204" i="1"/>
  <c r="G202" i="1"/>
  <c r="G201" i="1"/>
  <c r="H200" i="1"/>
  <c r="G200" i="1"/>
  <c r="H199" i="1"/>
  <c r="G199" i="1"/>
  <c r="H198" i="1"/>
  <c r="G198" i="1"/>
  <c r="G197" i="1"/>
  <c r="G196" i="1"/>
  <c r="G195" i="1"/>
  <c r="H194" i="1"/>
  <c r="G194" i="1"/>
  <c r="G193" i="1"/>
  <c r="G192" i="1"/>
  <c r="G191" i="1"/>
  <c r="G190" i="1"/>
  <c r="G189" i="1"/>
  <c r="H188" i="1"/>
  <c r="G188" i="1"/>
  <c r="H187" i="1"/>
  <c r="G187" i="1"/>
  <c r="G184" i="1"/>
  <c r="H183" i="1"/>
  <c r="G183" i="1"/>
  <c r="G182" i="1"/>
  <c r="E182" i="1"/>
  <c r="G181" i="1"/>
  <c r="H180" i="1"/>
  <c r="G180" i="1"/>
  <c r="G179" i="1"/>
  <c r="G178" i="1"/>
  <c r="G175" i="1"/>
  <c r="G174" i="1"/>
  <c r="G173" i="1"/>
  <c r="H172" i="1"/>
  <c r="G172" i="1"/>
  <c r="G171" i="1"/>
  <c r="G170" i="1"/>
  <c r="G169" i="1"/>
  <c r="G165" i="1"/>
  <c r="G164" i="1"/>
  <c r="H163" i="1"/>
  <c r="G163" i="1"/>
  <c r="G162" i="1"/>
  <c r="G161" i="1"/>
  <c r="G160" i="1"/>
  <c r="G158" i="1"/>
  <c r="G157" i="1"/>
  <c r="G156" i="1"/>
  <c r="H155" i="1"/>
  <c r="G155" i="1"/>
  <c r="G154" i="1"/>
  <c r="G153" i="1"/>
  <c r="G152" i="1"/>
  <c r="G149" i="1"/>
  <c r="G148" i="1"/>
  <c r="H147" i="1"/>
  <c r="G146" i="1"/>
  <c r="G145" i="1"/>
  <c r="G144" i="1"/>
  <c r="G143" i="1"/>
  <c r="G142" i="1"/>
  <c r="G140" i="1"/>
  <c r="G139" i="1"/>
  <c r="G138" i="1"/>
  <c r="G137" i="1"/>
  <c r="G136" i="1"/>
  <c r="G134" i="1"/>
  <c r="G133" i="1"/>
  <c r="G132" i="1"/>
  <c r="H132" i="1" s="1"/>
  <c r="G131" i="1"/>
  <c r="G130" i="1"/>
  <c r="G129" i="1"/>
  <c r="G128" i="1"/>
  <c r="G127" i="1"/>
  <c r="G126" i="1"/>
  <c r="G125" i="1"/>
  <c r="G124" i="1"/>
  <c r="G121" i="1"/>
  <c r="G120" i="1"/>
  <c r="G119" i="1"/>
  <c r="G118" i="1"/>
  <c r="G117" i="1"/>
  <c r="G116" i="1"/>
  <c r="G113" i="1"/>
  <c r="G112" i="1"/>
  <c r="G111" i="1"/>
  <c r="G107" i="1"/>
  <c r="G106" i="1"/>
  <c r="G105" i="1"/>
  <c r="G104" i="1"/>
  <c r="G103" i="1"/>
  <c r="G102" i="1"/>
  <c r="G101" i="1"/>
  <c r="G100" i="1"/>
  <c r="G98" i="1"/>
  <c r="H97" i="1"/>
  <c r="G97" i="1"/>
  <c r="G96" i="1"/>
  <c r="G95" i="1"/>
  <c r="G94" i="1"/>
  <c r="H720" i="1" s="1"/>
  <c r="G93" i="1"/>
  <c r="G92" i="1"/>
  <c r="G89" i="1"/>
  <c r="G88" i="1"/>
  <c r="G87" i="1"/>
  <c r="G86" i="1"/>
  <c r="G85" i="1"/>
  <c r="G84" i="1"/>
  <c r="G83" i="1"/>
  <c r="G82" i="1"/>
  <c r="G80" i="1"/>
  <c r="G79" i="1"/>
  <c r="G78" i="1"/>
  <c r="G77" i="1"/>
  <c r="G75" i="1"/>
  <c r="G74" i="1"/>
  <c r="G73" i="1"/>
  <c r="G72" i="1"/>
  <c r="G71" i="1"/>
  <c r="G70" i="1"/>
  <c r="G68" i="1"/>
  <c r="G67" i="1"/>
  <c r="G66" i="1"/>
  <c r="G65" i="1"/>
  <c r="G64" i="1"/>
  <c r="G63" i="1"/>
  <c r="G62" i="1"/>
  <c r="H61" i="1"/>
  <c r="G60" i="1"/>
  <c r="G59" i="1"/>
  <c r="G58" i="1"/>
  <c r="G56" i="1"/>
  <c r="H56" i="1" s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H83" i="1" s="1"/>
  <c r="G5" i="1"/>
  <c r="G4" i="1"/>
  <c r="G3" i="1"/>
  <c r="G2" i="1"/>
  <c r="H113" i="1" s="1"/>
  <c r="H591" i="1" l="1"/>
  <c r="H68" i="1"/>
  <c r="H121" i="1"/>
  <c r="H104" i="1"/>
  <c r="H566" i="1"/>
  <c r="H94" i="1"/>
  <c r="H321" i="1"/>
  <c r="H392" i="1"/>
  <c r="H224" i="1"/>
  <c r="H681" i="1"/>
  <c r="H11" i="1"/>
  <c r="H615" i="1"/>
  <c r="H616" i="1"/>
  <c r="H282" i="1"/>
  <c r="H251" i="1"/>
  <c r="H427" i="1"/>
  <c r="H469" i="1"/>
  <c r="H449" i="1"/>
  <c r="H201" i="1"/>
  <c r="H328" i="1"/>
  <c r="H129" i="1"/>
  <c r="H411" i="1"/>
  <c r="H22" i="1"/>
  <c r="H360" i="1"/>
  <c r="H577" i="1"/>
  <c r="H590" i="1"/>
  <c r="H271" i="1"/>
  <c r="H319" i="1"/>
  <c r="H344" i="1"/>
  <c r="H240" i="1"/>
  <c r="H189" i="1"/>
  <c r="H195" i="1"/>
  <c r="H436" i="1"/>
  <c r="H25" i="1"/>
  <c r="H468" i="1"/>
  <c r="H422" i="1"/>
  <c r="H452" i="1"/>
  <c r="H455" i="1"/>
  <c r="H413" i="1"/>
  <c r="H400" i="1"/>
  <c r="H398" i="1"/>
  <c r="H37" i="1"/>
  <c r="H719" i="1"/>
  <c r="H571" i="1"/>
  <c r="H74" i="1"/>
  <c r="H598" i="1"/>
  <c r="H67" i="1"/>
  <c r="H480" i="1"/>
  <c r="H265" i="1"/>
  <c r="H284" i="1"/>
  <c r="H93" i="1"/>
  <c r="H13" i="1"/>
  <c r="H690" i="1"/>
  <c r="H242" i="1"/>
  <c r="H210" i="1"/>
  <c r="H664" i="1"/>
  <c r="H715" i="1"/>
  <c r="H153" i="1"/>
  <c r="H137" i="1"/>
  <c r="H584" i="1"/>
  <c r="H680" i="1"/>
  <c r="H725" i="1"/>
  <c r="H112" i="1"/>
  <c r="H592" i="1"/>
  <c r="H688" i="1"/>
  <c r="H694" i="1"/>
  <c r="H613" i="1"/>
  <c r="H713" i="1"/>
  <c r="H5" i="1"/>
  <c r="H62" i="1"/>
  <c r="H136" i="1"/>
  <c r="H581" i="1"/>
  <c r="H632" i="1"/>
  <c r="H75" i="1"/>
  <c r="H258" i="1"/>
  <c r="H474" i="1"/>
  <c r="H565" i="1"/>
  <c r="H383" i="1"/>
  <c r="H569" i="1"/>
  <c r="H741" i="1"/>
  <c r="H214" i="1"/>
  <c r="H325" i="1"/>
  <c r="H379" i="1"/>
  <c r="H298" i="1"/>
  <c r="H747" i="1"/>
  <c r="H316" i="1"/>
  <c r="H89" i="1"/>
  <c r="H252" i="1"/>
  <c r="H313" i="1"/>
  <c r="H714" i="1"/>
  <c r="H599" i="1"/>
  <c r="H462" i="1"/>
  <c r="H622" i="1"/>
  <c r="H175" i="1"/>
  <c r="H98" i="1"/>
  <c r="H607" i="1"/>
  <c r="H614" i="1"/>
  <c r="H430" i="1"/>
  <c r="H196" i="1"/>
  <c r="H401" i="1"/>
  <c r="H585" i="1"/>
  <c r="H259" i="1"/>
  <c r="H666" i="1"/>
  <c r="H639" i="1"/>
  <c r="H470" i="1"/>
  <c r="H19" i="1"/>
  <c r="H164" i="1"/>
  <c r="H157" i="1"/>
  <c r="H48" i="1"/>
  <c r="H30" i="1"/>
  <c r="H685" i="1"/>
  <c r="H454" i="1"/>
  <c r="H88" i="1"/>
  <c r="H244" i="1"/>
  <c r="H429" i="1"/>
  <c r="H322" i="1"/>
  <c r="H296" i="1"/>
  <c r="H464" i="1"/>
  <c r="H625" i="1"/>
  <c r="H594" i="1"/>
  <c r="H190" i="1"/>
  <c r="H358" i="1"/>
  <c r="H7" i="1"/>
  <c r="H434" i="1"/>
  <c r="H119" i="1"/>
  <c r="H561" i="1"/>
  <c r="H471" i="1"/>
  <c r="H72" i="1"/>
  <c r="H382" i="1"/>
  <c r="H46" i="1"/>
  <c r="H707" i="1"/>
  <c r="H255" i="1"/>
  <c r="H101" i="1"/>
  <c r="H225" i="1"/>
  <c r="H689" i="1"/>
  <c r="H605" i="1"/>
  <c r="H15" i="1"/>
  <c r="H660" i="1"/>
  <c r="H646" i="1"/>
  <c r="H36" i="1"/>
  <c r="H570" i="1"/>
  <c r="H445" i="1"/>
  <c r="H264" i="1"/>
  <c r="H207" i="1"/>
  <c r="H82" i="1"/>
  <c r="H726" i="1"/>
  <c r="H635" i="1"/>
  <c r="H312" i="1"/>
  <c r="H152" i="1"/>
  <c r="H299" i="1"/>
  <c r="H572" i="1"/>
  <c r="H144" i="1"/>
  <c r="H63" i="1"/>
  <c r="H43" i="1"/>
  <c r="H92" i="1"/>
  <c r="H705" i="1"/>
  <c r="H655" i="1"/>
  <c r="H50" i="1"/>
  <c r="H438" i="1"/>
  <c r="H395" i="1"/>
  <c r="H593" i="1"/>
  <c r="H266" i="1"/>
  <c r="H70" i="1"/>
  <c r="H679" i="1"/>
  <c r="H663" i="1"/>
  <c r="H103" i="1"/>
  <c r="H621" i="1"/>
  <c r="H597" i="1"/>
  <c r="H128" i="1"/>
  <c r="H55" i="1"/>
  <c r="H604" i="1"/>
  <c r="H377" i="1"/>
  <c r="H143" i="1"/>
  <c r="H447" i="1"/>
  <c r="H558" i="1"/>
  <c r="H86" i="1"/>
  <c r="H345" i="1"/>
  <c r="H96" i="1"/>
  <c r="H239" i="1"/>
  <c r="H466" i="1"/>
  <c r="H583" i="1"/>
  <c r="H704" i="1"/>
  <c r="H732" i="1"/>
  <c r="H120" i="1"/>
  <c r="H134" i="1"/>
  <c r="H142" i="1"/>
  <c r="H213" i="1"/>
  <c r="H245" i="1"/>
  <c r="H270" i="1"/>
  <c r="H421" i="1"/>
  <c r="H435" i="1"/>
  <c r="H460" i="1"/>
  <c r="H563" i="1"/>
  <c r="H576" i="1"/>
  <c r="H612" i="1"/>
  <c r="H634" i="1"/>
  <c r="H654" i="1"/>
  <c r="H693" i="1"/>
  <c r="H712" i="1"/>
  <c r="H718" i="1"/>
  <c r="H6" i="1"/>
  <c r="H12" i="1"/>
  <c r="H18" i="1"/>
  <c r="H24" i="1"/>
  <c r="H42" i="1"/>
  <c r="H54" i="1"/>
  <c r="H149" i="1"/>
  <c r="H173" i="1"/>
  <c r="H181" i="1"/>
  <c r="H221" i="1"/>
  <c r="H230" i="1"/>
  <c r="H276" i="1"/>
  <c r="H283" i="1"/>
  <c r="H289" i="1"/>
  <c r="H297" i="1"/>
  <c r="H303" i="1"/>
  <c r="H311" i="1"/>
  <c r="H317" i="1"/>
  <c r="H337" i="1"/>
  <c r="H343" i="1"/>
  <c r="H349" i="1"/>
  <c r="H357" i="1"/>
  <c r="H363" i="1"/>
  <c r="H372" i="1"/>
  <c r="H378" i="1"/>
  <c r="H399" i="1"/>
  <c r="H408" i="1"/>
  <c r="H414" i="1"/>
  <c r="H742" i="1"/>
  <c r="H733" i="1"/>
  <c r="H743" i="1"/>
  <c r="H734" i="1"/>
  <c r="H416" i="1"/>
  <c r="H728" i="1"/>
  <c r="H49" i="1"/>
  <c r="H158" i="1"/>
  <c r="H373" i="1"/>
  <c r="H385" i="1"/>
  <c r="H105" i="1"/>
  <c r="H209" i="1"/>
  <c r="H559" i="1"/>
  <c r="H638" i="1"/>
  <c r="H656" i="1"/>
  <c r="H706" i="1"/>
  <c r="H2" i="1"/>
  <c r="H32" i="1"/>
  <c r="H232" i="1"/>
  <c r="H293" i="1"/>
  <c r="H85" i="1"/>
  <c r="H125" i="1"/>
  <c r="H431" i="1"/>
  <c r="H567" i="1"/>
  <c r="H601" i="1"/>
  <c r="H721" i="1"/>
  <c r="H3" i="1"/>
  <c r="H9" i="1"/>
  <c r="H21" i="1"/>
  <c r="H27" i="1"/>
  <c r="H33" i="1"/>
  <c r="H39" i="1"/>
  <c r="H45" i="1"/>
  <c r="H51" i="1"/>
  <c r="H58" i="1"/>
  <c r="H154" i="1"/>
  <c r="H161" i="1"/>
  <c r="H170" i="1"/>
  <c r="H178" i="1"/>
  <c r="H226" i="1"/>
  <c r="H280" i="1"/>
  <c r="H294" i="1"/>
  <c r="H300" i="1"/>
  <c r="H314" i="1"/>
  <c r="H326" i="1"/>
  <c r="H334" i="1"/>
  <c r="H340" i="1"/>
  <c r="H354" i="1"/>
  <c r="H366" i="1"/>
  <c r="H375" i="1"/>
  <c r="H381" i="1"/>
  <c r="H390" i="1"/>
  <c r="H396" i="1"/>
  <c r="H417" i="1"/>
  <c r="H425" i="1"/>
  <c r="H736" i="1"/>
  <c r="H745" i="1"/>
  <c r="H77" i="1"/>
  <c r="H116" i="1"/>
  <c r="H182" i="1"/>
  <c r="H241" i="1"/>
  <c r="H623" i="1"/>
  <c r="H727" i="1"/>
  <c r="H26" i="1"/>
  <c r="H285" i="1"/>
  <c r="H359" i="1"/>
  <c r="H78" i="1"/>
  <c r="H117" i="1"/>
  <c r="H145" i="1"/>
  <c r="H273" i="1"/>
  <c r="H451" i="1"/>
  <c r="H573" i="1"/>
  <c r="H79" i="1"/>
  <c r="H730" i="1"/>
  <c r="H165" i="1"/>
  <c r="H231" i="1"/>
  <c r="H409" i="1"/>
  <c r="H130" i="1"/>
  <c r="H475" i="1"/>
  <c r="H579" i="1"/>
  <c r="H8" i="1"/>
  <c r="H38" i="1"/>
  <c r="H160" i="1"/>
  <c r="H389" i="1"/>
  <c r="H64" i="1"/>
  <c r="H131" i="1"/>
  <c r="H191" i="1"/>
  <c r="H215" i="1"/>
  <c r="H439" i="1"/>
  <c r="H476" i="1"/>
  <c r="H580" i="1"/>
  <c r="H648" i="1"/>
  <c r="H146" i="1"/>
  <c r="H234" i="1"/>
  <c r="H433" i="1"/>
  <c r="H458" i="1"/>
  <c r="H477" i="1"/>
  <c r="H568" i="1"/>
  <c r="H589" i="1"/>
  <c r="H610" i="1"/>
  <c r="H643" i="1"/>
  <c r="H649" i="1"/>
  <c r="H661" i="1"/>
  <c r="H691" i="1"/>
  <c r="H700" i="1"/>
  <c r="H708" i="1"/>
  <c r="H716" i="1"/>
  <c r="H722" i="1"/>
  <c r="H4" i="1"/>
  <c r="H10" i="1"/>
  <c r="H16" i="1"/>
  <c r="H28" i="1"/>
  <c r="H34" i="1"/>
  <c r="H40" i="1"/>
  <c r="H52" i="1"/>
  <c r="H59" i="1"/>
  <c r="H162" i="1"/>
  <c r="H171" i="1"/>
  <c r="H179" i="1"/>
  <c r="H216" i="1"/>
  <c r="H227" i="1"/>
  <c r="H287" i="1"/>
  <c r="H301" i="1"/>
  <c r="H307" i="1"/>
  <c r="H315" i="1"/>
  <c r="H341" i="1"/>
  <c r="H347" i="1"/>
  <c r="H355" i="1"/>
  <c r="H367" i="1"/>
  <c r="H376" i="1"/>
  <c r="H391" i="1"/>
  <c r="H397" i="1"/>
  <c r="H403" i="1"/>
  <c r="H426" i="1"/>
  <c r="H737" i="1"/>
  <c r="H746" i="1"/>
  <c r="H174" i="1"/>
  <c r="H202" i="1"/>
  <c r="H606" i="1"/>
  <c r="H695" i="1"/>
  <c r="H20" i="1"/>
  <c r="H44" i="1"/>
  <c r="H410" i="1"/>
  <c r="H71" i="1"/>
  <c r="H106" i="1"/>
  <c r="H463" i="1"/>
  <c r="H560" i="1"/>
  <c r="H586" i="1"/>
  <c r="H699" i="1"/>
  <c r="H118" i="1"/>
  <c r="H139" i="1"/>
  <c r="H192" i="1"/>
  <c r="H211" i="1"/>
  <c r="H243" i="1"/>
  <c r="H602" i="1"/>
  <c r="H683" i="1"/>
  <c r="H66" i="1"/>
  <c r="H73" i="1"/>
  <c r="H80" i="1"/>
  <c r="H87" i="1"/>
  <c r="H95" i="1"/>
  <c r="H102" i="1"/>
  <c r="H111" i="1"/>
  <c r="H127" i="1"/>
  <c r="H133" i="1"/>
  <c r="H140" i="1"/>
  <c r="H193" i="1"/>
  <c r="H235" i="1"/>
  <c r="H250" i="1"/>
  <c r="H256" i="1"/>
  <c r="H269" i="1"/>
  <c r="H275" i="1"/>
  <c r="H441" i="1"/>
  <c r="H453" i="1"/>
  <c r="H459" i="1"/>
  <c r="H465" i="1"/>
  <c r="H484" i="1"/>
  <c r="H562" i="1"/>
  <c r="H575" i="1"/>
  <c r="H582" i="1"/>
  <c r="H596" i="1"/>
  <c r="H603" i="1"/>
  <c r="H611" i="1"/>
  <c r="H617" i="1"/>
  <c r="H633" i="1"/>
  <c r="H644" i="1"/>
  <c r="H653" i="1"/>
  <c r="H662" i="1"/>
  <c r="H692" i="1"/>
  <c r="H701" i="1"/>
  <c r="H709" i="1"/>
  <c r="H717" i="1"/>
  <c r="H724" i="1"/>
  <c r="H731" i="1"/>
  <c r="H31" i="1"/>
  <c r="H84" i="1"/>
  <c r="H124" i="1"/>
  <c r="H423" i="1"/>
  <c r="H647" i="1"/>
  <c r="H665" i="1"/>
  <c r="H14" i="1"/>
  <c r="H169" i="1"/>
  <c r="H380" i="1"/>
  <c r="H100" i="1"/>
  <c r="H138" i="1"/>
  <c r="H197" i="1"/>
  <c r="H267" i="1"/>
  <c r="H457" i="1"/>
  <c r="H482" i="1"/>
  <c r="H682" i="1"/>
  <c r="H65" i="1"/>
  <c r="H107" i="1"/>
  <c r="H126" i="1"/>
  <c r="H184" i="1"/>
  <c r="H205" i="1"/>
  <c r="H440" i="1"/>
  <c r="H483" i="1"/>
  <c r="H574" i="1"/>
  <c r="H595" i="1"/>
  <c r="H667" i="1"/>
  <c r="H17" i="1"/>
  <c r="H23" i="1"/>
  <c r="H29" i="1"/>
  <c r="H35" i="1"/>
  <c r="H41" i="1"/>
  <c r="H47" i="1"/>
  <c r="H53" i="1"/>
  <c r="H60" i="1"/>
  <c r="H148" i="1"/>
  <c r="H156" i="1"/>
  <c r="H220" i="1"/>
  <c r="H229" i="1"/>
  <c r="H288" i="1"/>
  <c r="H302" i="1"/>
  <c r="H336" i="1"/>
  <c r="H342" i="1"/>
  <c r="H348" i="1"/>
  <c r="H362" i="1"/>
  <c r="H368" i="1"/>
  <c r="H404" i="1"/>
</calcChain>
</file>

<file path=xl/sharedStrings.xml><?xml version="1.0" encoding="utf-8"?>
<sst xmlns="http://schemas.openxmlformats.org/spreadsheetml/2006/main" count="2365" uniqueCount="492">
  <si>
    <t>Depositor</t>
  </si>
  <si>
    <t>Date</t>
  </si>
  <si>
    <t>Description</t>
  </si>
  <si>
    <t>Amount</t>
  </si>
  <si>
    <t>Running Balance</t>
  </si>
  <si>
    <t>Clement Aribisala</t>
  </si>
  <si>
    <t>2/7/2023</t>
  </si>
  <si>
    <t>NFCU ACH DES:P2P ID:CLEMENT O ARIBI INDN:ASSURANCE INVESTMENT A CO ID:9000000021 WEB</t>
  </si>
  <si>
    <t>150</t>
  </si>
  <si>
    <t>450</t>
  </si>
  <si>
    <t>Olugbenga Shofela</t>
  </si>
  <si>
    <t>1/23/2023</t>
  </si>
  <si>
    <t>Counter Credit</t>
  </si>
  <si>
    <t>100</t>
  </si>
  <si>
    <t>Gbanju Aruwayo-Obe</t>
  </si>
  <si>
    <t>2/6/2023</t>
  </si>
  <si>
    <t>CA TLR transfer Banking Ctr LA MESA MAIN #0000231 CA Confirmation# 0372155763</t>
  </si>
  <si>
    <t>200</t>
  </si>
  <si>
    <t>300</t>
  </si>
  <si>
    <t>Yomi Salami</t>
  </si>
  <si>
    <t>2/9/2023</t>
  </si>
  <si>
    <t>NFCU ACH DES:P2P ID:SAHEED A SALAMI INDN:ASSURANCE INVESTMENT A CO ID:9000000021 WEB</t>
  </si>
  <si>
    <t>1100</t>
  </si>
  <si>
    <t>1550</t>
  </si>
  <si>
    <t>Adedayo Tolani</t>
  </si>
  <si>
    <t>2/15/2023</t>
  </si>
  <si>
    <t>200.09</t>
  </si>
  <si>
    <t>1750.09</t>
  </si>
  <si>
    <t>Lolu Adanri</t>
  </si>
  <si>
    <t>2/17/2023</t>
  </si>
  <si>
    <t>NFCU ACH DES:P2P ID:OMOLOLU V ADANR INDN:ASSURANCE INVESTMENT I CO ID:9000000021 WEB</t>
  </si>
  <si>
    <t>150.01</t>
  </si>
  <si>
    <t>1900.1</t>
  </si>
  <si>
    <t>Yinka Daramola</t>
  </si>
  <si>
    <t>2/21/2023</t>
  </si>
  <si>
    <t>Zelle Transfer Conf# y0009qyyE; AWOYINKA DARAMOLA</t>
  </si>
  <si>
    <t>150.07</t>
  </si>
  <si>
    <t>2050.17</t>
  </si>
  <si>
    <t>2/27/2023</t>
  </si>
  <si>
    <t>Zelle Transfer Conf# A0009MOK6; AWOYINKA DARAMOLA</t>
  </si>
  <si>
    <t>50.07</t>
  </si>
  <si>
    <t>2100.24</t>
  </si>
  <si>
    <t>Kelvin Amede</t>
  </si>
  <si>
    <t>3/1/2023</t>
  </si>
  <si>
    <t>Zelle Transfer Conf# 01TKLXVB9; KELVIN AMEDE</t>
  </si>
  <si>
    <t>250.03</t>
  </si>
  <si>
    <t>2350.27</t>
  </si>
  <si>
    <t>Taiwo Embassey</t>
  </si>
  <si>
    <t>3/3/2023</t>
  </si>
  <si>
    <t>Zelle payment from TAIWO EMBASSEY Conf# g0kv42bcb</t>
  </si>
  <si>
    <t>208</t>
  </si>
  <si>
    <t>2558.27</t>
  </si>
  <si>
    <t>3/6/2023</t>
  </si>
  <si>
    <t>Zelle payment from KAMORU TOLANI Conf# exsy1adej</t>
  </si>
  <si>
    <t>100.09</t>
  </si>
  <si>
    <t>3858.44</t>
  </si>
  <si>
    <t>Zelle Transfer Conf# 01TO0LHYP; KELVIN AMEDE</t>
  </si>
  <si>
    <t>200.03</t>
  </si>
  <si>
    <t>3758.35</t>
  </si>
  <si>
    <t>1000.05</t>
  </si>
  <si>
    <t>3558.32</t>
  </si>
  <si>
    <t>3/8/2023</t>
  </si>
  <si>
    <t>50.01</t>
  </si>
  <si>
    <t>3908.45</t>
  </si>
  <si>
    <t>3/16/2023</t>
  </si>
  <si>
    <t>NFCU ACH DES:P2P ID:CLEMENT O ARIBI INDN:ASSURANCE INVESTMENT A CO ID:9000000011 WEB</t>
  </si>
  <si>
    <t>50.02</t>
  </si>
  <si>
    <t>3958.47</t>
  </si>
  <si>
    <t>Oluwabiyi Omotuyole</t>
  </si>
  <si>
    <t>3/17/2023</t>
  </si>
  <si>
    <t>Zelle payment from OLUWABIYI OMOTUYOLE for oluwabiyi's contribution"; Conf# f9g22s51z"</t>
  </si>
  <si>
    <t>150.13</t>
  </si>
  <si>
    <t>4108.6</t>
  </si>
  <si>
    <t>Mutiu Saliu</t>
  </si>
  <si>
    <t>3/20/2023</t>
  </si>
  <si>
    <t>Zelle Transfer Conf# 01U26U2W8; MUTIU SALIU</t>
  </si>
  <si>
    <t>200.04</t>
  </si>
  <si>
    <t>4308.64</t>
  </si>
  <si>
    <t>3/21/2023</t>
  </si>
  <si>
    <t>Zelle Transfer Conf# T0R4MSTJX; GBANJU ARUWAYO OBE</t>
  </si>
  <si>
    <t>100.06</t>
  </si>
  <si>
    <t>4408.7</t>
  </si>
  <si>
    <t>Zelle Transfer Conf# r0009cWQD; AWOYINKA DARAMOLA</t>
  </si>
  <si>
    <t>4458.77</t>
  </si>
  <si>
    <t>3/22/2023</t>
  </si>
  <si>
    <t>Zelle payment from TAIWO EMBASSEY Conf# ivtkg19vn</t>
  </si>
  <si>
    <t>4558.77</t>
  </si>
  <si>
    <t>Abraham Udom</t>
  </si>
  <si>
    <t>3/27/2023</t>
  </si>
  <si>
    <t>Zelle Transfer Conf# 01U99XMU8; ABRAHAM UDOM</t>
  </si>
  <si>
    <t>200.14</t>
  </si>
  <si>
    <t>4758.91</t>
  </si>
  <si>
    <t>4/3/2023</t>
  </si>
  <si>
    <t>Zelle Transfer Conf# G0009tLUR; AWOYINKA DARAMOLA</t>
  </si>
  <si>
    <t>5809.03</t>
  </si>
  <si>
    <t>5758.96</t>
  </si>
  <si>
    <t>4/7/2023</t>
  </si>
  <si>
    <t>NFCU ACH DES:P2P ID:OLUGBENGA O SHO INDN:ASSURANCE INVESTMENT A CO ID:9000000021 WEB</t>
  </si>
  <si>
    <t>5893.03</t>
  </si>
  <si>
    <t>4/10/2023</t>
  </si>
  <si>
    <t>Zelle payment from KAMORU TOLANI Conf# olpsif20h</t>
  </si>
  <si>
    <t>5993.12</t>
  </si>
  <si>
    <t>Zelle Transfer Conf# P0009AXXY; AWOYINKA DARAMOLA</t>
  </si>
  <si>
    <t>6043.19</t>
  </si>
  <si>
    <t>Zelle Transfer Conf# 0HTSJHMI1; KELVIN AMEDE</t>
  </si>
  <si>
    <t>Zelle Transfer Conf# T0R76N3GS; GBANJU ARUWAYO OBE</t>
  </si>
  <si>
    <t>Zelle Transfer Conf# 0HU7QI60Q; MUTIU SALIU</t>
  </si>
  <si>
    <t>Zelle payment from TAIWO EMBASSEY Conf# bsepescrb</t>
  </si>
  <si>
    <t>Zelle Transfer Conf# 0HU8QU4KG; ABRAHAM UDOM</t>
  </si>
  <si>
    <t>Zelle payment from KAMORU TOLANI Conf# p9ktbsi45</t>
  </si>
  <si>
    <t>Zelle payment from OLUWABIYI OMOTUYOLE Conf# hdvqik9a4</t>
  </si>
  <si>
    <t>Zelle Transfer Conf# B0009IkDv; AWOYINKA DARAMOLA</t>
  </si>
  <si>
    <t>Zelle payment from OLUWABIYI OMOTUYOLE Conf# e3cbr9pid</t>
  </si>
  <si>
    <t>Zelle Transfer Conf# T0R9L3GTD; GBANJU ARUWAYO OBE</t>
  </si>
  <si>
    <t>Zelle payment from KAMORU TOLANI Conf# nf9fsg99j</t>
  </si>
  <si>
    <t>Zelle payment from OLUWABIYI OMOTUYOLE Conf# czzbxkcgc</t>
  </si>
  <si>
    <t>Iyioluwa Olaoye</t>
  </si>
  <si>
    <t>Zelle Transfer Conf# GFICYV6O2; Iyioluwa Olaoye</t>
  </si>
  <si>
    <t>Zelle Transfer Conf# P0009n7iN; AWOYINKA DARAMOLA</t>
  </si>
  <si>
    <t>Zelle Transfer Conf# 999ynv008; GBANJU P ARUWAYOOBE</t>
  </si>
  <si>
    <t>Zelle payment from KAMORU TOLANI Conf# k5tnv722x</t>
  </si>
  <si>
    <t>Zelle payment from OLUWABIYI OMOTUYOLE Conf# c49ftwgee</t>
  </si>
  <si>
    <t>Zelle Transfer Conf# q0009p2mb; AWOYINKA DARAMOLA</t>
  </si>
  <si>
    <t>Zelle Transfer Conf# T0RFN82F9; GBANJU ARUWAYO OBE</t>
  </si>
  <si>
    <t>Zelle Transfer Conf# 0HWQDO0QS; ABRAHAM UDOM</t>
  </si>
  <si>
    <t>Zelle Transfer Conf# 0HWQDN6Q2; IYIOLUWA OLAOYE</t>
  </si>
  <si>
    <t>Oladimeji Eboda</t>
  </si>
  <si>
    <t>Zelle Transfer Conf# 0HWQDO0PF; OLADIMEJI EBODA</t>
  </si>
  <si>
    <t>Beginning balance as of 08/01/2023</t>
  </si>
  <si>
    <t>Zelle payment from OLUWABIYI OMOTUYOLE Conf# ejq9wol86</t>
  </si>
  <si>
    <t>Zelle Transfer Conf# T0RH54J4L; GBANJU ARUWAYO OBE</t>
  </si>
  <si>
    <t>Customer Withdrawal Image</t>
  </si>
  <si>
    <t>Zelle payment from OLUWABIYI OMOTUYOLE Conf# gi8ipzjow</t>
  </si>
  <si>
    <t>Zelle payment from KAMORU TOLANI Conf# hk4syu9dw</t>
  </si>
  <si>
    <t>Zelle payment from AWOYINKA DARAMOLA for Contributions"; Conf# v000L2ug4"</t>
  </si>
  <si>
    <t>Zelle payment from MUTIU SALIU Conf# 0HXX1D8QC</t>
  </si>
  <si>
    <t>Zelle payment from GBANJU P ARUWAYOOBE for contribution for sept"; Conf# 99a2t13bu"</t>
  </si>
  <si>
    <t>Zelle payment from OLUWABIYI OMOTUYOLE Conf# bumgbvpw5</t>
  </si>
  <si>
    <t>Zelle payment from KAMORU TOLANI Conf# juqf3wcb3</t>
  </si>
  <si>
    <t>Zelle payment from GBANJU P ARUWAYOOBE for october money"; Conf# 99a470gcp"</t>
  </si>
  <si>
    <t>Zelle payment from AWOYINKA DARAMOLA Conf# owwj5jazc</t>
  </si>
  <si>
    <t>Zelle payment from KAMORU TOLANI Conf# qdbhvkjk8</t>
  </si>
  <si>
    <t>Zelle payment from OLUWABIYI OMOTUYOLE Conf# if1lo91v9</t>
  </si>
  <si>
    <t>Zelle payment from KAMORU TOLANI Conf# rngb97wyg</t>
  </si>
  <si>
    <t>Zelle payment from AWOYINKA DARAMOLA Conf# rxtlo83yy</t>
  </si>
  <si>
    <t>Zelle payment from OLUWABIYI OMOTUYOLE for December contribution"; Conf# b3dok71a2"</t>
  </si>
  <si>
    <t>Zelle payment from KELVIN AMEDE Conf# 0I0FU7KXR</t>
  </si>
  <si>
    <t>Zelle payment from GBANJU P ARUWAYOOBE for contributions."; Conf# 99a6tyxfm"</t>
  </si>
  <si>
    <t>Zelle payment from KAMORU TOLANI Conf# vwkl58c4o</t>
  </si>
  <si>
    <t>Zelle payment from OLUWABIYI OMOTUYOLE Conf# nbnac24eh</t>
  </si>
  <si>
    <t>Zelle payment from KELVIN AMEDE Conf# 006XC46HK</t>
  </si>
  <si>
    <t>Akili Tcha Bindi</t>
  </si>
  <si>
    <t>Zelle payment from AKILI TCHA BINIDI for Adhesion and monthly payment"; Conf# 01V3FSKBG"</t>
  </si>
  <si>
    <t>Zelle payment from AWOYINKA DARAMOLA Conf# kzvuvdlo9</t>
  </si>
  <si>
    <t>Check 1157</t>
  </si>
  <si>
    <t>Zelle payment from GBANJU P ARUWAYOOBE for contribution"; Conf# 99a8qqo7p"</t>
  </si>
  <si>
    <t>Zelle payment from KAMORU TOLANI Conf# ohtb60fjc</t>
  </si>
  <si>
    <t>Zelle payment from KELVIN AMEDE Conf# 01VS7521H</t>
  </si>
  <si>
    <t>Zelle payment from OLUWABIYI OMOTUYOLE Conf# hb7vy3uu6</t>
  </si>
  <si>
    <t>Zelle payment from MUTIU SALIU Conf# 01W4EW6WJ</t>
  </si>
  <si>
    <t>Zelle payment from AWOYINKA DARAMOLA Conf# o4xu219oz</t>
  </si>
  <si>
    <t>Zelle payment from KAMORU TOLANI Conf# uhynvxpaw</t>
  </si>
  <si>
    <t>Beginning balance as of 03/01/2024</t>
  </si>
  <si>
    <t>Zelle payment from OLUWABIYI OMOTUYOLE Conf# dzufj10yt</t>
  </si>
  <si>
    <t>Zelle payment from KELVIN AMEDE Conf# 01WLQ7QLI</t>
  </si>
  <si>
    <t>Zelle payment from AWOYINKA DARAMOLA Conf# pzgqkfwaa</t>
  </si>
  <si>
    <t>Zelle payment from OLUWABIYI OMOTUYOLE for April contribution"; Conf# c2v2i8h7s"</t>
  </si>
  <si>
    <t>Zelle payment from KAMORU TOLANI Conf# xi0cga2ps</t>
  </si>
  <si>
    <t>Zelle payment from AWOYINKA DARAMOLA Conf# e000sGBUf</t>
  </si>
  <si>
    <t>Zelle payment from KAMORU TOLANI Conf# utvamb4k9</t>
  </si>
  <si>
    <t>Zelle payment from AWOYINKA DARAMOLA Conf# jp0zevbrx</t>
  </si>
  <si>
    <t>Zelle payment from GBANJU P ARUWAYOOBE for contribution"; Conf# 99ags6elc"</t>
  </si>
  <si>
    <t>Zelle payment from KELVIN AMEDE Conf# 0IMA7H4J8</t>
  </si>
  <si>
    <t>Zelle payment from OLUWABIYI OMOTUYOLE Conf# c34e0w10z</t>
  </si>
  <si>
    <t>Zelle payment from GBANJU P ARUWAYOOBE for contribution"; Conf# 99agty9t8"</t>
  </si>
  <si>
    <t>Zelle payment from MUTIU SALIU for For Abolanle Saliu"; Conf# 0IMEAMRJ0"</t>
  </si>
  <si>
    <t>Zelle payment from AKILI E TCHA BINIDI Conf# C3W5iXVCv</t>
  </si>
  <si>
    <t>Zelle payment from AWOYINKA DARAMOLA Conf# m8r1k8yq6</t>
  </si>
  <si>
    <t>Zelle payment from KAMORU TOLANI Conf# zjuir0oay</t>
  </si>
  <si>
    <t>Zelle payment from OLUWABIYI OMOTUYOLE Conf# aa59ma8ur</t>
  </si>
  <si>
    <t>Zelle payment from KELVIN AMEDE Conf# 0IN5TSVJP</t>
  </si>
  <si>
    <t>Zelle payment from MUTIU SALIU Conf# 0INCYYHGL</t>
  </si>
  <si>
    <t>Zelle payment from GBANJU P ARUWAYOOBE for contribution"; Conf# 99aj41bae"</t>
  </si>
  <si>
    <t>Zelle payment from KAMORU TOLANI Conf# u0bec17qo</t>
  </si>
  <si>
    <t>Zelle payment from AWOYINKA DARAMOLA Conf# mfan13c4q</t>
  </si>
  <si>
    <t>Zelle payment from OLUWABIYI OMOTUYOLE for July contribution"; Conf# gw6wc1chg"</t>
  </si>
  <si>
    <t>Zelle payment from AWOYINKA DARAMOLA Conf# lrm40hh9z</t>
  </si>
  <si>
    <t>Check 1160</t>
  </si>
  <si>
    <t>Zelle payment from GBANJU ARUWAYOOBE for Contribution"; Conf# 0IOF2K7FY"</t>
  </si>
  <si>
    <t>Zelle payment from KAMORU TOLANI Conf# wkxevjoq6</t>
  </si>
  <si>
    <t>Beginning balance as of 08/01/2024</t>
  </si>
  <si>
    <t>Zelle payment from OLUWABIYI OMOTUYOLE for August contribution"; Conf# h26wogazm"</t>
  </si>
  <si>
    <t>Zelle payment from KELVIN AMEDE Conf# 0IOUDQBIW</t>
  </si>
  <si>
    <t>BKOFAMERICA MOBILE 08/26 3781779633 DEPOSIT *MOBILE CA</t>
  </si>
  <si>
    <t>Zelle payment from AWOYINKA DARAMOLA Conf# mxxp3nfng</t>
  </si>
  <si>
    <t>Zelle payment from GBANJU ARUWAYOOBE for Gbanju Aruwayo-Obe"; Conf# 0IPCQL8YO"</t>
  </si>
  <si>
    <t>Zelle payment from GOSHEN INTERNATIONAL LLC for For Dayo Tolani monthly contributions."; Conf# T0SGXCH4K"</t>
  </si>
  <si>
    <t>Zelle payment from MUTIU SALIU Conf# 0IPKXDB6L</t>
  </si>
  <si>
    <t>Zelle payment from OLUWABIYI OMOTUYOLE for September contribution"; Conf# aiewaxphj"</t>
  </si>
  <si>
    <t>BKOFAMERICA MOBILE 09/19 3795416721 DEPOSIT *MOBILE CA</t>
  </si>
  <si>
    <t>Zelle payment from GBANJU ARUWAYOOBE for Contributions"; Conf# 0IQ3BB28K"</t>
  </si>
  <si>
    <t>Zelle payment from KAMORU TOLANI Conf# ubf36bajp</t>
  </si>
  <si>
    <t>Beginning balance as of 10/01/2024</t>
  </si>
  <si>
    <t>Zelle payment from AWOYINKA DARAMOLA Conf# kutob6vwm</t>
  </si>
  <si>
    <t>Zelle payment from OLUWABIYI OMOTUYOLE Conf# i3r6xuuyb</t>
  </si>
  <si>
    <t>BKOFAMERICA MOBILE 10/28 3775398965 DEPOSIT *MOBILE CA</t>
  </si>
  <si>
    <t>Zelle payment from KAMORU TOLANI Conf# y63v54hwu</t>
  </si>
  <si>
    <t>Zelle payment from AWOYINKA DARAMOLA Conf# ll8uqydem</t>
  </si>
  <si>
    <t>Zelle payment from GBANJU ARUWAYOOBE for Contribution"; Conf# 0IR3FTK3J"</t>
  </si>
  <si>
    <t>Beginning balance as of 11/01/2024</t>
  </si>
  <si>
    <t>Zelle payment from OLUWABIYI OMOTUYOLE for November contribution"; Conf# c1kfjgp5a"</t>
  </si>
  <si>
    <t>Zelle payment from KELVIN AMEDE Conf# 0IREOEDLA</t>
  </si>
  <si>
    <t>BKOFAMERICA MOBILE 11/15 3703097964 DEPOSIT *MOBILE CA</t>
  </si>
  <si>
    <t>Zelle payment from AWOYINKA DARAMOLA Conf# ji6xqkuwm</t>
  </si>
  <si>
    <t>Check 1163</t>
  </si>
  <si>
    <t>Zelle payment from KAMORU TOLANI Conf# vhps61zdq</t>
  </si>
  <si>
    <t>Beginning balance as of 11/30/2024</t>
  </si>
  <si>
    <t>Zelle payment from SAHEED SALAMI for Loan payment"; Conf# 0IS8BQKT0"</t>
  </si>
  <si>
    <t>Zelle payment from OLUWABIYI OMOTUYOLE for December contribution"; Conf# m1fpfr1e1"</t>
  </si>
  <si>
    <t>Zelle payment from OMOLOLU ADANRI Conf# 0IS6AMUXA</t>
  </si>
  <si>
    <t>Zelle payment from AWOYINKA DARAMOLA Conf# q6o358mcy</t>
  </si>
  <si>
    <t>Zelle payment from KELVIN AMEDE Conf# 0IS8BE0VL</t>
  </si>
  <si>
    <t>Ejiro Awhotu</t>
  </si>
  <si>
    <t>Zelle payment from EJIRO AWHOTU for $100 for application fees and $50 in my account"; Conf# 0ISCEFWN0"</t>
  </si>
  <si>
    <t>BKOFAMERICA MOBILE 12/16 3656803042 DEPOSIT *MOBILE CA</t>
  </si>
  <si>
    <t>Noghayin Idele</t>
  </si>
  <si>
    <t>NFCU DES:ZELLE ID:NOGHAYIN IDELE INDN:ASSURANCE INVEST CO ID:1770527921 WEB</t>
  </si>
  <si>
    <t>Zelle payment from GBANJU ARUWAYOOBE for Contributions"; Conf# 0ISCFCI5C"</t>
  </si>
  <si>
    <t>Zelle payment to MODUPE ADANRI for payment for food"; Conf# h7x0nfhsx"</t>
  </si>
  <si>
    <t>Zelle payment to GBANJU ARUWAYO-OBE for food package plates and spoons"; Conf# azz3lap9c"</t>
  </si>
  <si>
    <t>Zelle payment to AWOYINKA DARAMOLA for forms subscriptions"; Conf# be4vdhgb2"</t>
  </si>
  <si>
    <t>Idris Anaisah</t>
  </si>
  <si>
    <t>Zelle payment from IDRIS ANAISAH Conf# 0ISS3YHQD</t>
  </si>
  <si>
    <t>Zelle payment from KAMORU TOLANI Conf# zwamze579</t>
  </si>
  <si>
    <t>Beginning balance as of 01/01/2025</t>
  </si>
  <si>
    <t>Zelle payment from EJIRO AWHOTU for Assurance cooperation contribution - 016"; Conf# 00706YDN3"</t>
  </si>
  <si>
    <t>Zelle payment to AWOYINKA DARAMOLA for clubhouse rental"; Conf# fmmtmk1xq"</t>
  </si>
  <si>
    <t>Zelle payment from OMOLOLU ADANRI Conf# 0074AK50X</t>
  </si>
  <si>
    <t>Zelle payment from KELVIN AMEDE Conf# 0077C6SHC</t>
  </si>
  <si>
    <t>BKOFAMERICA MOBILE 01/26 3797380793 DEPOSIT *MOBILE CA</t>
  </si>
  <si>
    <t>Zelle Recurring payment from KAMORU TOLANI for For assurance investment contributions."; Conf# x4d467ce3"</t>
  </si>
  <si>
    <t>Sonia Udom</t>
  </si>
  <si>
    <t>Beginning balance as of 02/01/2025</t>
  </si>
  <si>
    <t>Zelle payment from EJIRO AWHOTU for Contribution towards my Assurance Cooperation A"; Conf# 01YCU5AKS"</t>
  </si>
  <si>
    <t>Zelle payment from OLUWABIYI OMOTUYOLE for January contribution"; Conf# gl01ycdx6"</t>
  </si>
  <si>
    <t>Check 1166</t>
  </si>
  <si>
    <t>Zelle payment from SONIA ABRAHAM UDOM Conf# 01YFWMZPJ</t>
  </si>
  <si>
    <t>Zelle payment from OMOLOLU ADANRI Conf# 01YFX6LZU</t>
  </si>
  <si>
    <t>Zelle payment from KELVIN AMEDE Conf# 01YK0M92O</t>
  </si>
  <si>
    <t>BKOFAMERICA MOBILE 02/15 3754817293 DEPOSIT *MOBILE CA</t>
  </si>
  <si>
    <t>Zelle payment from OLUWABIYI OMOTUYOLE for Feb contribution (2nd payment)"; Conf# cnqabm3we"</t>
  </si>
  <si>
    <t>Zelle payment from IDRIS ANAISAH Conf# 01YS75JCY</t>
  </si>
  <si>
    <t>Zelle payment from AWOYINKA DARAMOLA Conf# o3es0f94b</t>
  </si>
  <si>
    <t>Check 1169</t>
  </si>
  <si>
    <t>Zelle payment from GBANJU ARUWAYOOBE for Monthly contribution"; Conf# 01Z2F6IHX"</t>
  </si>
  <si>
    <t>Zelle Recurring payment from KAMORU TOLANI for For assurance investment contributions."; Conf# t5kbe4od7"</t>
  </si>
  <si>
    <t>Beginning balance as of 03/01/2025</t>
  </si>
  <si>
    <t>Zelle payment from SAHEED SALAMI for Loan payment"; Conf# 01Z7JK4DN"</t>
  </si>
  <si>
    <t>Zelle payment from AWOYINKA DARAMOLA for Ejiro Awhotu"; Conf# 04TRT19IP"</t>
  </si>
  <si>
    <t>Oluwatosin Ogunbowale</t>
  </si>
  <si>
    <t>Zelle payment from OLUWATOSIN OGUNBOWALE for Contribution"; Conf# 01ZC0P998"</t>
  </si>
  <si>
    <t>Zelle payment from KELVIN AMEDE Conf# 01ZC0B5Q5</t>
  </si>
  <si>
    <t>Zelle payment from OLUWABIYI OMOTUYOLE for March contribution"; Conf# n5padh6kr"</t>
  </si>
  <si>
    <t>Zelle payment from SONIA ABRAHAM UDOM Conf# 01ZAMYR15</t>
  </si>
  <si>
    <t>Zelle payment from AWOYINKA DARAMOLA Conf# j4dboxxpn</t>
  </si>
  <si>
    <t>Zelle payment to TITILOPE SALIU Conf# ijv1do691</t>
  </si>
  <si>
    <t>Zelle payment to TITILOPE SALIU for Balance- Catering"; Conf# cxhykyhvx"</t>
  </si>
  <si>
    <t>Zelle payment from GBANJU ARUWAYOOBE for Loan repayment-Gbanju"; Conf# 01ZI5A08D"</t>
  </si>
  <si>
    <t>Zelle payment from OLUWABIYI OMOTUYOLE for March payment</t>
  </si>
  <si>
    <t>Zelle payment from MUTIU SALIU Conf# 01ZH51603</t>
  </si>
  <si>
    <t>Titilope Saliu</t>
  </si>
  <si>
    <t>Zelle payment from AWOYINKA DARAMOLA for Titilope Saliu"; Conf# 05CWRF9R9"</t>
  </si>
  <si>
    <t>Zelle payment to TITILOPE SALIU for Balance Catering"; Conf# cvd9v32z1"</t>
  </si>
  <si>
    <t>Zelle payment to AWOYINKA DARAMOLA for Suya for get together"; Conf# ivkfyg3jv"</t>
  </si>
  <si>
    <t>Zelle payment from OMOLOLU ADANRI Conf# 01ZPAXT0V</t>
  </si>
  <si>
    <t>Zelle payment to AWOYINKA DARAMOLA for launch party expenses"; Conf# gl6gyuigm"</t>
  </si>
  <si>
    <t>Zelle Recurring payment from KAMORU TOLANI for For assurance investment contributions."; Conf# uijstw9i4"</t>
  </si>
  <si>
    <t>Zelle payment from GBANJU ARUWAYO OBE for CONTRIBUTIONS"; Conf# T0YNSQVBB"</t>
  </si>
  <si>
    <t>Beginning balance as of 04/01/2025</t>
  </si>
  <si>
    <t>Zelle payment from OMOLOLU ADANRI Conf# 0205OPKH6</t>
  </si>
  <si>
    <t>Zelle payment from KELVIN AMEDE Conf# 0207PYKTP</t>
  </si>
  <si>
    <t>Zelle payment from OLUWABIYI OMOTUYOLE Conf# cais2xpvq</t>
  </si>
  <si>
    <t>Zelle payment from MUTIU SALIU Conf# 0JDCUARFY</t>
  </si>
  <si>
    <t>Zelle payment from EJIRO AWHOTU for My monthly contributions"; Conf# 0JDEWJWY6"</t>
  </si>
  <si>
    <t>Zelle payment from TITILOPE SALIU for For April"; Conf# 0JDEW6YVF"</t>
  </si>
  <si>
    <t>Zelle payment from OLUWABIYI OMOTUYOLE for April loan payment"; Conf# iyyyrahh5"</t>
  </si>
  <si>
    <t>Zelle payment from SONIA ABRAHAM UDOM Conf# 0JDL1Z4AL</t>
  </si>
  <si>
    <t>Zelle payment from GBANJU ARUWAYOOBE for Loan repayment"; Conf# 0JDL207CJ"</t>
  </si>
  <si>
    <t>Zelle Recurring payment from KAMORU TOLANI for For assurance investment contributions."; Conf# vaqpa65wu"</t>
  </si>
  <si>
    <t>Beginning balance as of 05/01/2025</t>
  </si>
  <si>
    <t>Zelle payment from OLUWATOSIN OGUNBOWALE for April"; Conf# 0JDS7TXUN"</t>
  </si>
  <si>
    <t>Zelle payment from TITILOPE SALIU for Monthly payments"; Conf# 0JDXCFN0G"</t>
  </si>
  <si>
    <t>Zelle payment from SAHEED SALAMI Conf# 0JDYCKLSE</t>
  </si>
  <si>
    <t>Zelle payment from EJIRO AWHOTU for My Monthly Contributions towards Assurance Coop"; Conf# 0JDYD8KDV"</t>
  </si>
  <si>
    <t>Zelle payment from OLUWABIYI OMOTUYOLE for May contribution"; Conf# aindpmvn2"</t>
  </si>
  <si>
    <t>Zelle payment from KELVIN AMEDE Conf# 0JE1EX0TH</t>
  </si>
  <si>
    <t>Zelle payment from MUTIU SALIU Conf# 0JE6J3842</t>
  </si>
  <si>
    <t>Zelle payment from OLUWABIYI OMOTUYOLE for May loan payment"; Conf# agmaedu64"</t>
  </si>
  <si>
    <t>Zelle Recurring payment from KAMORU TOLANI for For assurance investment contributions."; Conf# vhbg1jeda"</t>
  </si>
  <si>
    <t>Zelle payment from GBANJU ARUWAYOOBE Conf# 0JEOBG2K8</t>
  </si>
  <si>
    <t>Zelle payment from AWOYINKA DARAMOLA Conf# j4jeresl0</t>
  </si>
  <si>
    <t>Zelle payment from TITILOPE SALIU Conf# 0JEQCLP9H</t>
  </si>
  <si>
    <t>Zelle payment from SAHEED SALAMI for Cooperative loan"; Conf# 0JERDS03F"</t>
  </si>
  <si>
    <t>Zelle payment from OMOLOLU ADANRI Conf# 0JERE6ZM7</t>
  </si>
  <si>
    <t>Zelle payment from EJIRO AWHOTU for My Monthly contributions"; Conf# 0JEUGDIJ4"</t>
  </si>
  <si>
    <t>Zelle payment from OLUWABIYI OMOTUYOLE for June contribution"; Conf# d0ir4wqpd"</t>
  </si>
  <si>
    <t>Zelle payment from KELVIN AMEDE Conf# 0JEWH0P1H</t>
  </si>
  <si>
    <t>Zelle payment from MUTIU SALIU Conf# 0JF1LN60V</t>
  </si>
  <si>
    <t>Zelle payment from TITILOPE SALIU for Monthly payments"; Conf# 0JF3NTSSE"</t>
  </si>
  <si>
    <t>Zelle payment from OLUWABIYI OMOTUYOLE for loan payment - June"; Conf# cjrrrcg53"</t>
  </si>
  <si>
    <t>Zelle payment from GBANJU ARUWAYOOBE for Loan repayment"; Conf# 0JFATAAYM"</t>
  </si>
  <si>
    <t>Zelle payment from SAHEED SALAMI for Payment"; Conf# 0JFHZFHRU"</t>
  </si>
  <si>
    <t>Zelle Recurring payment from KAMORU TOLANI for For assurance investment contributions."; Conf# vv23f570f"</t>
  </si>
  <si>
    <t>Beginning balance as of 07/01/2025</t>
  </si>
  <si>
    <t>Zelle payment from TITILOPE SALIU for Monthly payments"; Conf# 0JFJ1SS7B"</t>
  </si>
  <si>
    <t>Zelle payment from OLUWABIYI OMOTUYOLE for July contribution"; Conf# dxldyej9o"</t>
  </si>
  <si>
    <t>Zelle payment from GBANJU ARUWAYOOBE for Contribution"; Conf# 0JFQ75SNR"</t>
  </si>
  <si>
    <t>Zelle payment from KELVIN AMEDE Conf# 0JFQ6WOZE</t>
  </si>
  <si>
    <t>Zelle payment from AWOYINKA DARAMOLA Conf# md43mci8n</t>
  </si>
  <si>
    <t>Zelle payment from MUTIU SALIU Conf# 0JFVAKPBV</t>
  </si>
  <si>
    <t>Agent Assisted transfer from CD 6385 Confirmation# 3980044222</t>
  </si>
  <si>
    <t>Zelle payment from TITILOPE SALIU for Monthly payments"; Conf# 0JFYECHQU"</t>
  </si>
  <si>
    <t>Zelle payment from OLUWABIYI OMOTUYOLE for loan payment"; Conf# cgk352p3o"</t>
  </si>
  <si>
    <t>Zelle payment from IDRIS ANAISAH for 5 months months contribution"; Conf# 0JFYEG3EH"</t>
  </si>
  <si>
    <t>Zelle payment from OMOLOLU ADANRI Conf# 0JG1GZN13</t>
  </si>
  <si>
    <t>Agent Assisted transfer to CD 7200 Confirmation# 0693462126</t>
  </si>
  <si>
    <t>Check 1178</t>
  </si>
  <si>
    <t>Zelle payment from EJIRO AWHOTU for Contribution towards my Assurance Account"; Conf# 0JG6KYMUR"</t>
  </si>
  <si>
    <t>Zelle Recurring payment from KAMORU TOLANI for For assurance investment contributions."; Conf# uto6tp8b0"</t>
  </si>
  <si>
    <t>Check 1181</t>
  </si>
  <si>
    <t>Beginning balance as of 08/01/2025</t>
  </si>
  <si>
    <t>Zelle payment from GBANJU ARUWAYOOBE for Repayment"; Conf# 0JGD2UKA3"</t>
  </si>
  <si>
    <t>Zelle payment from SAHEED SALAMI Conf# 0JGK9VHHH</t>
  </si>
  <si>
    <t>Zelle payment from KELVIN AMEDE Conf# 0JGLADR3X</t>
  </si>
  <si>
    <t>Zelle payment from OLUWABIYI OMOTUYOLE for loan payment 1"; Conf# ekt9xxf7u"</t>
  </si>
  <si>
    <t>Zelle payment from OLUWABIYI OMOTUYOLE for August contribution"; Conf# ibaadkf0o"</t>
  </si>
  <si>
    <t>Zelle payment from MUTIU SALIU Conf# 0JGQE7AP1</t>
  </si>
  <si>
    <t>Zelle payment from TAIWO EMBASSEY for Loan repayment"; Conf# eqzcg98g5"</t>
  </si>
  <si>
    <t>Zelle payment from TAIWO EMBASSEY Conf# rw22xkavr</t>
  </si>
  <si>
    <t>Zelle payment from EJIRO AWHOTU for My monthly contribution"; Conf# 0JGTH98ZH"</t>
  </si>
  <si>
    <t>Zelle payment from AWOYINKA DARAMOLA Conf# hbmm1a9u3</t>
  </si>
  <si>
    <t>Zelle payment from GBANJU ARUWAYO OBE for MONTHLY CONTRIBUTION"; Conf# T0Z5XCYXV"</t>
  </si>
  <si>
    <t>Zelle payment from IDRIS ANAISAH Conf# 0JGSGPMMD</t>
  </si>
  <si>
    <t>Zelle payment from GBANJU ARUWAYOOBE for Loan payback"; Conf# 0JGXKZLXM"</t>
  </si>
  <si>
    <t>Zelle payment from TITILOPE SALIU for Monthly payments"; Conf# 0JH2OPBWY"</t>
  </si>
  <si>
    <t>Oluwatosin Omotuyole</t>
  </si>
  <si>
    <t>Zelle payment from OLUWATOSIN OMOTUYOLE for Cooperative contribution"; Conf# 0JH4PZS5Y"</t>
  </si>
  <si>
    <t>Zelle Recurring payment from KAMORU TOLANI for For assurance investment contributions."; Conf# z2h49eds7"</t>
  </si>
  <si>
    <t>Check 1184</t>
  </si>
  <si>
    <t>Zelle payment from SAHEED SALAMI Conf# 0JHBWV36L</t>
  </si>
  <si>
    <t>Zelle payment from OLUWABIYI OMOTUYOLE for Sept contribution"; Conf# ac3kpd5ai"</t>
  </si>
  <si>
    <t>Zelle payment from GBANJU ARUWAYO OBE for MONTHLY CONTRIBUTION"; Conf# T0Z8J5JR6"</t>
  </si>
  <si>
    <t>Zelle payment from OLUWABIYI OMOTUYOLE for loan payment 2"; Conf# aogpu7ycz"</t>
  </si>
  <si>
    <t>Zelle payment from EJIRO AWHOTU for Monthly contributions to Assurance Cooperative"; Conf# 0JHJ4KHMJ"</t>
  </si>
  <si>
    <t>Zelle payment from OMOLOLU ADANRI Conf# 0JHJ4EQB1</t>
  </si>
  <si>
    <t>Zelle payment from MUTIU SALIU Conf# 0JHL5TJFM</t>
  </si>
  <si>
    <t>Zelle payment from TITILOPE SALIU for Coop"; Conf# 0JHK5R5WS"</t>
  </si>
  <si>
    <t>Kehinde Agboola</t>
  </si>
  <si>
    <t>Zelle payment from KEHINDE AGBOOLA for Initial deposit Kehinde Agboola"; Conf# x53ti5c5q"</t>
  </si>
  <si>
    <t>Zelle payment from GBANJU ARUWAYOOBE for Loan repayment"; Conf# 0JHRAY0RJ"</t>
  </si>
  <si>
    <t>Zelle payment from TAIWO EMBASSEY Conf# a4sj3jo8e</t>
  </si>
  <si>
    <t>Olawale George</t>
  </si>
  <si>
    <t>Zelle payment from OLAWALE GEORGE for New Member"; Conf# 0JHUDTARB"</t>
  </si>
  <si>
    <t>Zelle payment from OLUWATOSIN OMOTUYOLE for 2nd contribution"; Conf# 0JHVE2HCI"</t>
  </si>
  <si>
    <t>Zelle Recurring payment from KAMORU TOLANI for For assurance investment contributions."; Conf# x1etcoa5z"</t>
  </si>
  <si>
    <t>Beginning balance as of 10/01/2025</t>
  </si>
  <si>
    <t>Zelle payment from OLAWALE GEORGE Conf# 0JI3LHWNI</t>
  </si>
  <si>
    <t>Zelle payment from OLUWABIYI OMOTUYOLE for loan payment 3"; Conf# dxaumfx6o"</t>
  </si>
  <si>
    <t>Zelle payment from KELVIN AMEDE Conf# 0JIA4G6QF</t>
  </si>
  <si>
    <t>Zelle payment from OLUWABIYI OMOTUYOLE for October contribution"; Conf# ivc6trbka"</t>
  </si>
  <si>
    <t>Zelle payment from AWOYINKA DARAMOLA Conf# mtyqfj1p4</t>
  </si>
  <si>
    <t>Zelle payment from TITILOPE SALIU for For months"; Conf# 0JIC7AMIH"</t>
  </si>
  <si>
    <t>Zelle payment from EJIRO AWHOTU for My monthly contributions for Assurance Corp"; Conf# 0JIF9HE9Q"</t>
  </si>
  <si>
    <t>Zelle payment from MUTIU SALIU Conf# 0JIF8QDA7</t>
  </si>
  <si>
    <t>Zelle payment from OMOLOLU ADANRI Conf# 0JIKDO5NY</t>
  </si>
  <si>
    <t>Zelle payment from GBANJU ARUWAYOOBE for Contribution"; Conf# 0JIKDOKMW"</t>
  </si>
  <si>
    <t>Zelle payment from GBANJU ARUWAYOOBE for Repayment"; Conf# 0JIPIA2ZQ"</t>
  </si>
  <si>
    <t>Zelle Recurring payment from KAMORU TOLANI for For assurance investment contributions."; Conf# vuvl2v1ya"</t>
  </si>
  <si>
    <t>Zelle payment from OLAWALE GEORGE Conf# 0JIYPZXK7</t>
  </si>
  <si>
    <t>Zelle payment from OLUWATOSIN OMOTUYOLE for Cooperative"; Conf# 0JJ0SMAHC"</t>
  </si>
  <si>
    <t>Zelle payment from AWOYINKA DARAMOLA Conf# nmrum5dwb</t>
  </si>
  <si>
    <t>Zelle payment from TITILOPE SALIU for Monthly payments"; Conf# 0JJ1SX7O9"</t>
  </si>
  <si>
    <t>Zelle payment from SAHEED SALAMI for Loan and 100 for monthly payment"; Conf# 0JJ2TMG3J"</t>
  </si>
  <si>
    <t>Zelle payment from OLUWABIYI OMOTUYOLE for loan payment 4"; Conf# cv51asvvo"</t>
  </si>
  <si>
    <t>Zelle payment from OLUWABIYI OMOTUYOLE for November contribution"; Conf# ftuy89ici"</t>
  </si>
  <si>
    <t>Zelle payment from IDRIS ANAISAH for Monthly for September and October"; Conf# 0JJ5WPQQR"</t>
  </si>
  <si>
    <t>Zelle payment from EJIRO AWHOTU for My monthly contribution"; Conf# 0JJC2W9KP"</t>
  </si>
  <si>
    <t>Zelle payment from MUTIU SALIU Conf# 0JJA0NB4Q</t>
  </si>
  <si>
    <t>Zelle payment from GBANJU ARUWAYOOBE for Contributions"; Conf# 0JJC2QGG2"</t>
  </si>
  <si>
    <t>Zelle payment from GBANJU ARUWAYOOBE for Loan repayment"; Conf# 0JJJ91HD4"</t>
  </si>
  <si>
    <t>Zelle payment from OLUWATOSIN OMOTUYOLE for Tosin monthly contribution"; Conf# 0JJMBKOVY"</t>
  </si>
  <si>
    <t>Zelle Recurring payment from KAMORU TOLANI for For assurance investment contributions."; Conf# zeoy73h6o"</t>
  </si>
  <si>
    <t>Zelle payment from OLAWALE GEORGE Conf# 0JJSGUR0M</t>
  </si>
  <si>
    <t>Zelle payment from MUTIU SALIU Conf# 0JK44RI37</t>
  </si>
  <si>
    <t>Zelle payment from OLUWATOSIN OMOTUYOLE for Tosin Dec contribution"; Conf# 0JK55Z2OZ"</t>
  </si>
  <si>
    <t>Zelle payment from OLUWABIYI OMOTUYOLE Conf# ixdcgae76</t>
  </si>
  <si>
    <t>Zelle payment from OLUWABIYI OMOTUYOLE for December contribution"; Conf# ehe4k71az"</t>
  </si>
  <si>
    <t>Zelle payment from GBANJU P ARUWAYOOBE for loan repayment"; Conf# 99bzn7pv5"</t>
  </si>
  <si>
    <t>Zelle Recurring payment from KAMORU TOLANI for For assurance investment contributions."; Conf# y1c5ed03d"</t>
  </si>
  <si>
    <t>Zelle payment from GBANJU ARUWAYOOBE for Contribution"; Conf# 0JKHHDD1Z"</t>
  </si>
  <si>
    <t>Zelle payment to Sonia Udom Conf# duz391bfq</t>
  </si>
  <si>
    <t>Zelle payment from TAIWO EMBASSEY Conf# duw0upryp</t>
  </si>
  <si>
    <t>Zelle payment from OLAWALE GEORGE Conf# 007ALZ4N7</t>
  </si>
  <si>
    <t>Zelle payment from MUTIU SALIU Conf# 020MWAIHM</t>
  </si>
  <si>
    <t>Zelle payment from OLUWABIYI OMOTUYOLE for loan payment 6"; Conf# gclzx58yt"</t>
  </si>
  <si>
    <t>Zelle payment from OLUWABIYI OMOTUYOLE for January contribution"; Conf# gb1ww2tn8"</t>
  </si>
  <si>
    <t>Zelle payment from OLUWATOSIN OMOTUYOLE for Jan 2026"; Conf# 020X64FR5"</t>
  </si>
  <si>
    <t>Zelle payment from GBANJU ARUWAYOOBE for Loan repayment"; Conf# 020Z7A78T"</t>
  </si>
  <si>
    <t>Zelle payment from AWOYINKA DARAMOLA Conf# lyexejp8t</t>
  </si>
  <si>
    <t>Zelle payment from GBANJU ARUWAYOOBE for Monthly contribution"; Conf# 020Z7A795"</t>
  </si>
  <si>
    <t>Zelle Recurring payment from KAMORU TOLANI for For assurance investment contributions."; Conf# v190yldj9"</t>
  </si>
  <si>
    <t>Zelle payment from OLAWALE GEORGE Conf# 0215DDXDV</t>
  </si>
  <si>
    <t>Zelle payment from OMOLOLU ADANRI Conf# 0219IIBTQ</t>
  </si>
  <si>
    <t>NFCU ACH DES:P2P ID:SAHEED A SALAMI INDN:ASSURANCE INVESTMENT A CO ID:XXXXX00021 WEB</t>
  </si>
  <si>
    <t>Zelle payment from KELVIN AMEDE Conf# 021CK81I8</t>
  </si>
  <si>
    <t>Zelle payment from OLUWABIYI OMOTUYOLE for loan payment 7"; Conf# bhra8vo14"</t>
  </si>
  <si>
    <t>Zelle payment from OLUWABIYI OMOTUYOLE for Feb contribution"; Conf# equh6vtvf"</t>
  </si>
  <si>
    <t>Zelle payment from MUTIU SALIU Conf# 021H1ITSH</t>
  </si>
  <si>
    <t>NFCU ACH DES:P2P ID:CLEMENT O ARIBI INDN:ASSURANCE INVESTMENT A CO ID:XXXXX00011 WEB</t>
  </si>
  <si>
    <t>Zelle payment from GBANJU ARUWAYOOBE for Monthly contribution"; Conf# 021J379NS"</t>
  </si>
  <si>
    <t>Check 1187</t>
  </si>
  <si>
    <t>Zelle payment from GBANJU ARUWAYOOBE for Loan repayments"; Conf# 021M6DETL"</t>
  </si>
  <si>
    <t>Zelle payment from GBANJU ARUWAYOOBE for Loan repayment"; Conf# 021M6HIMZ"</t>
  </si>
  <si>
    <t>Zelle payment from OMOLOLU ADANRI Conf# 021N74G2L</t>
  </si>
  <si>
    <t>Zelle payment from GBANJU ARUWAYO OBE for TAIWO EMBASSEY LOAN REPAYMENT"; Conf# T0ZTZ3855"</t>
  </si>
  <si>
    <t>Zelle payment from AWOYINKA DARAMOLA Conf# c2kpksung</t>
  </si>
  <si>
    <t>Check 1190</t>
  </si>
  <si>
    <t>Zelle payment from OLUWATOSIN OMOTUYOLE for Assurance cooperative feb"; Conf# 021UEJP9H"</t>
  </si>
  <si>
    <t>Zelle Recurring payment from KAMORU TOLANI for For assurance investment contributions."; Conf# zg2dzfyr8"</t>
  </si>
  <si>
    <t>Zelle payment from OLAWALE GEORGE Conf# 021XH010M</t>
  </si>
  <si>
    <t>Zelle payment from TITILOPE SALIU for Monthly payments"; Conf# 0227RQ539"</t>
  </si>
  <si>
    <t>Zelle payment from GBANJU ARUWAYOOBE for Monthly contribution"; Conf# 0228SFTEH"</t>
  </si>
  <si>
    <t>Zelle payment from OMOLOLU ADANRI Conf# 0228SKY50</t>
  </si>
  <si>
    <t>Zelle payment from OLUWABIYI OMOTUYOLE for payment 8"; Conf# h30ugf3qh"</t>
  </si>
  <si>
    <t>Zelle payment from MUTIU SALIU Conf# 0229T5K1N</t>
  </si>
  <si>
    <t>Zelle payment from OLUWATOSIN OMOTUYOLE for March contribution"; Conf# 0229TACFA"</t>
  </si>
  <si>
    <t>NFCU DES:ZELLE ID:NOGHAYIN IDELE INDN:ASSURANCE INVEST CO ID:XXXXX27921 WEB</t>
  </si>
  <si>
    <t>Zelle payment from SAHEED SALAMI for Loan payment"; Conf# 022DXJRA6"</t>
  </si>
  <si>
    <t>Zelle payment from GBANJU ARUWAYOOBE for Monthly contribution."; Conf# 022FZ6FR3"</t>
  </si>
  <si>
    <t>Zelle payment from OLUWABIYI OMOTUYOLE for loan payment"; Conf# czb4gp2hi"</t>
  </si>
  <si>
    <t>Zelle payment from OMOLOLU ADANRI Conf# 022GZZYY6</t>
  </si>
  <si>
    <t>Zelle Recurring payment from KAMORU TOLANI for For assurance investment contributions."; Conf# zlld1gguy"</t>
  </si>
  <si>
    <t>Zelle payment from SAHEED SALAMI for Cooperative fund"; Conf# 022SBKH00"</t>
  </si>
  <si>
    <t>Zelle payment from OLAWALE GEORGE Conf# 022SBL7WE</t>
  </si>
  <si>
    <t>Zelle payment from GBANJU ARUWAYOOBE for Monthly contribution"; Conf# 022TDK72X"</t>
  </si>
  <si>
    <t>Zelle payment from OMOLOLU ADANRI Conf# 022TDG3W1</t>
  </si>
  <si>
    <t>Zelle payment from GBANJU ARUWAYO OBE for LOAN REPAYMENT"; Conf# T0ZZQJ5ZH"</t>
  </si>
  <si>
    <t>Zelle payment from OLUWABIYI OMOTUYOLE Conf# h59706cwu</t>
  </si>
  <si>
    <t>Zelle payment from OLUWABIYI OMOTUYOLE for monthly contribution"; Conf# gyp6upi0c"</t>
  </si>
  <si>
    <t>Zelle payment from OLUWATOSIN OMOTUYOLE for Tosin for assurance"; Conf# 0K51LIRZ5"</t>
  </si>
  <si>
    <t>Zelle payment from MUTIU SALIU Conf# 0K5402D1N</t>
  </si>
  <si>
    <t>Zelle payment from SAHEED SALAMI for Loan repayment"; Conf# 0K573N4BY"</t>
  </si>
  <si>
    <t>Zelle payment from GBANJU ARUWAYOOBE for Loan repayment"; Conf# 0K595MJSL"</t>
  </si>
  <si>
    <t>Zelle payment from OMOLOLU ADANRI Conf# 0K5A6FYJM</t>
  </si>
  <si>
    <t>Zelle payment to ejiro awhotu for Frim assurance"; Conf# dnzwnepuh"</t>
  </si>
  <si>
    <t>Zelle payment from AWOYINKA DARAMOLA Conf# qm0rqmkoi</t>
  </si>
  <si>
    <t>Zelle payment from GBANJU ARUWAYOOBE for Monthly contribution"; Conf# 0K5E9Z9YL"</t>
  </si>
  <si>
    <t>Zelle Recurring payment from KAMORU TOLANI for For assurance investment contributions."; Conf# y81xra6ij"</t>
  </si>
  <si>
    <t>Beginning balance as of 01/23/2023</t>
  </si>
  <si>
    <t/>
  </si>
  <si>
    <t>0</t>
  </si>
  <si>
    <t>2/1/2023</t>
  </si>
  <si>
    <t>Beginning balance as of 02/01/2023</t>
  </si>
  <si>
    <t>Beginning balance as of 03/01/2023</t>
  </si>
  <si>
    <t>4/1/2023</t>
  </si>
  <si>
    <t>Beginning balance as of 04/01/2023</t>
  </si>
  <si>
    <t>Monthly Fee Business Adv Fundamentals</t>
  </si>
  <si>
    <t>-16</t>
  </si>
  <si>
    <t>5793.03</t>
  </si>
  <si>
    <t>Running Bal.</t>
  </si>
  <si>
    <t>Beginning balance as of 09/01/2023</t>
  </si>
  <si>
    <t>Check 1151</t>
  </si>
  <si>
    <t>Check 1154</t>
  </si>
  <si>
    <t>Beginning balance as of 11/01/2023</t>
  </si>
  <si>
    <t>Beginning balance as of 12/30/2023</t>
  </si>
  <si>
    <t>Member Deposit</t>
  </si>
  <si>
    <t>Loan Repayment</t>
  </si>
  <si>
    <t>Member Withdrawal</t>
  </si>
  <si>
    <t>Loan Disbursement</t>
  </si>
  <si>
    <t>Purchase of Certificate of Deposit with Bank of America</t>
  </si>
  <si>
    <t>Expenses</t>
  </si>
  <si>
    <t>Expenses (Uncategorized)</t>
  </si>
  <si>
    <t>Catering</t>
  </si>
  <si>
    <t>Software</t>
  </si>
  <si>
    <t xml:space="preserve">Expenses </t>
  </si>
  <si>
    <t>Liquidation of Certificate of Deposit</t>
  </si>
  <si>
    <t>Purchase of Certificate of Deposit</t>
  </si>
  <si>
    <t>TAIWO EMBASSEY</t>
  </si>
  <si>
    <t>ejiro awhotu</t>
  </si>
  <si>
    <t>Bank charges</t>
  </si>
  <si>
    <t xml:space="preserve">Check 1172 </t>
  </si>
  <si>
    <t>Investment in Caribe Restaurant and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</si>
</sst>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4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1"/>
  <sheetViews>
    <sheetView tabSelected="1" topLeftCell="A714" zoomScale="98" zoomScaleNormal="130" workbookViewId="0">
      <selection activeCell="L738" sqref="L738"/>
    </sheetView>
  </sheetViews>
  <sheetFormatPr defaultRowHeight="15" x14ac:dyDescent="0.25"/>
  <cols>
    <col min="1" max="1" width="20.7109375" bestFit="1" customWidth="1"/>
    <col min="2" max="2" width="11.7109375" customWidth="1"/>
    <col min="3" max="3" width="90.28515625" bestFit="1" customWidth="1"/>
    <col min="4" max="4" width="13" bestFit="1" customWidth="1"/>
    <col min="5" max="5" width="15.7109375" bestFit="1" customWidth="1"/>
    <col min="6" max="6" width="20.7109375" bestFit="1" customWidth="1"/>
    <col min="8" max="8" width="0" hidden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9" x14ac:dyDescent="0.25">
      <c r="A2" t="s">
        <v>5</v>
      </c>
      <c r="B2" s="1" t="s">
        <v>6</v>
      </c>
      <c r="C2" t="s">
        <v>7</v>
      </c>
      <c r="D2" t="s">
        <v>8</v>
      </c>
      <c r="E2" t="s">
        <v>9</v>
      </c>
      <c r="F2" t="s">
        <v>5</v>
      </c>
      <c r="G2">
        <f t="shared" ref="G2:G41" si="0">VALUE(D2)</f>
        <v>150</v>
      </c>
      <c r="H2">
        <f>SUMIF($F$2:$F$552,A2,$G$2:$G$552)</f>
        <v>2700.7599999999998</v>
      </c>
      <c r="I2" t="s">
        <v>475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13</v>
      </c>
      <c r="F3" t="s">
        <v>10</v>
      </c>
      <c r="G3">
        <f>VALUE(D3)</f>
        <v>100</v>
      </c>
      <c r="H3">
        <f>SUMIF($F$2:$F$552,A3,$G$2:$G$552)</f>
        <v>200</v>
      </c>
      <c r="I3" t="s">
        <v>475</v>
      </c>
    </row>
    <row r="4" spans="1:9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14</v>
      </c>
      <c r="G4">
        <f>VALUE(D4)</f>
        <v>200</v>
      </c>
      <c r="H4">
        <f>SUMIF($F$2:$F$552,A4,$G$2:$G$552)</f>
        <v>2821.3799999999992</v>
      </c>
      <c r="I4" t="s">
        <v>475</v>
      </c>
    </row>
    <row r="5" spans="1:9" x14ac:dyDescent="0.25">
      <c r="A5" t="s">
        <v>19</v>
      </c>
      <c r="B5" s="1" t="s">
        <v>20</v>
      </c>
      <c r="C5" t="s">
        <v>21</v>
      </c>
      <c r="D5" t="s">
        <v>22</v>
      </c>
      <c r="E5" t="s">
        <v>23</v>
      </c>
      <c r="F5" t="s">
        <v>19</v>
      </c>
      <c r="G5">
        <f t="shared" si="0"/>
        <v>1100</v>
      </c>
      <c r="H5">
        <f>SUMIF($F$2:$F$552,A5,$G$2:$G$552)</f>
        <v>4400.2000000000007</v>
      </c>
      <c r="I5" t="s">
        <v>475</v>
      </c>
    </row>
    <row r="6" spans="1:9" x14ac:dyDescent="0.25">
      <c r="A6" t="s">
        <v>24</v>
      </c>
      <c r="B6" s="1" t="s">
        <v>25</v>
      </c>
      <c r="C6" t="s">
        <v>12</v>
      </c>
      <c r="D6" t="s">
        <v>26</v>
      </c>
      <c r="E6" t="s">
        <v>27</v>
      </c>
      <c r="F6" t="s">
        <v>24</v>
      </c>
      <c r="G6">
        <f t="shared" si="0"/>
        <v>200.09</v>
      </c>
      <c r="H6">
        <f>SUMIF($F$2:$F$552,A6,$G$2:$G$552)</f>
        <v>4003.3300000000022</v>
      </c>
      <c r="I6" t="s">
        <v>475</v>
      </c>
    </row>
    <row r="7" spans="1:9" x14ac:dyDescent="0.25">
      <c r="A7" t="s">
        <v>28</v>
      </c>
      <c r="B7" s="1" t="s">
        <v>29</v>
      </c>
      <c r="C7" t="s">
        <v>30</v>
      </c>
      <c r="D7" t="s">
        <v>31</v>
      </c>
      <c r="E7" t="s">
        <v>32</v>
      </c>
      <c r="F7" t="s">
        <v>28</v>
      </c>
      <c r="G7">
        <f t="shared" si="0"/>
        <v>150.01</v>
      </c>
      <c r="H7">
        <f>SUMIF($F$2:$F$552,A7,$G$2:$G$552)</f>
        <v>2356.04</v>
      </c>
      <c r="I7" t="s">
        <v>475</v>
      </c>
    </row>
    <row r="8" spans="1:9" x14ac:dyDescent="0.25">
      <c r="A8" t="s">
        <v>33</v>
      </c>
      <c r="B8" s="1" t="s">
        <v>34</v>
      </c>
      <c r="C8" t="s">
        <v>35</v>
      </c>
      <c r="D8" t="s">
        <v>36</v>
      </c>
      <c r="E8" t="s">
        <v>37</v>
      </c>
      <c r="F8" t="s">
        <v>33</v>
      </c>
      <c r="G8">
        <f t="shared" si="0"/>
        <v>150.07</v>
      </c>
      <c r="H8">
        <f>SUMIF($F$2:$F$552,A8,$G$2:$G$552)</f>
        <v>2452.5199999999995</v>
      </c>
      <c r="I8" t="s">
        <v>475</v>
      </c>
    </row>
    <row r="9" spans="1:9" x14ac:dyDescent="0.25">
      <c r="A9" t="s">
        <v>33</v>
      </c>
      <c r="B9" s="1" t="s">
        <v>38</v>
      </c>
      <c r="C9" t="s">
        <v>39</v>
      </c>
      <c r="D9" t="s">
        <v>40</v>
      </c>
      <c r="E9" t="s">
        <v>41</v>
      </c>
      <c r="F9" t="s">
        <v>33</v>
      </c>
      <c r="G9">
        <f t="shared" si="0"/>
        <v>50.07</v>
      </c>
      <c r="H9">
        <f>SUMIF($F$2:$F$552,A9,$G$2:$G$552)</f>
        <v>2452.5199999999995</v>
      </c>
      <c r="I9" t="s">
        <v>475</v>
      </c>
    </row>
    <row r="10" spans="1:9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42</v>
      </c>
      <c r="G10">
        <f t="shared" si="0"/>
        <v>250.03</v>
      </c>
      <c r="H10">
        <f>SUMIF($F$2:$F$552,A10,$G$2:$G$552)</f>
        <v>3400.06</v>
      </c>
      <c r="I10" t="s">
        <v>475</v>
      </c>
    </row>
    <row r="11" spans="1:9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47</v>
      </c>
      <c r="G11">
        <f t="shared" si="0"/>
        <v>208</v>
      </c>
      <c r="H11">
        <f>SUMIF($F$2:$F$552,A11,$G$2:$G$552)</f>
        <v>508</v>
      </c>
      <c r="I11" t="s">
        <v>475</v>
      </c>
    </row>
    <row r="12" spans="1:9" x14ac:dyDescent="0.25">
      <c r="A12" t="s">
        <v>24</v>
      </c>
      <c r="B12" t="s">
        <v>52</v>
      </c>
      <c r="C12" t="s">
        <v>53</v>
      </c>
      <c r="D12" t="s">
        <v>54</v>
      </c>
      <c r="E12" t="s">
        <v>55</v>
      </c>
      <c r="F12" t="s">
        <v>24</v>
      </c>
      <c r="G12">
        <f t="shared" si="0"/>
        <v>100.09</v>
      </c>
      <c r="H12">
        <f>SUMIF($F$2:$F$552,A12,$G$2:$G$552)</f>
        <v>4003.3300000000022</v>
      </c>
      <c r="I12" t="s">
        <v>475</v>
      </c>
    </row>
    <row r="13" spans="1:9" x14ac:dyDescent="0.25">
      <c r="A13" t="s">
        <v>42</v>
      </c>
      <c r="B13" t="s">
        <v>52</v>
      </c>
      <c r="C13" t="s">
        <v>56</v>
      </c>
      <c r="D13" t="s">
        <v>57</v>
      </c>
      <c r="E13" t="s">
        <v>58</v>
      </c>
      <c r="F13" t="s">
        <v>42</v>
      </c>
      <c r="G13">
        <f t="shared" si="0"/>
        <v>200.03</v>
      </c>
      <c r="H13">
        <f>SUMIF($F$2:$F$552,A13,$G$2:$G$552)</f>
        <v>3400.06</v>
      </c>
      <c r="I13" t="s">
        <v>475</v>
      </c>
    </row>
    <row r="14" spans="1:9" x14ac:dyDescent="0.25">
      <c r="A14" t="s">
        <v>19</v>
      </c>
      <c r="B14" t="s">
        <v>52</v>
      </c>
      <c r="C14" t="s">
        <v>21</v>
      </c>
      <c r="D14" t="s">
        <v>59</v>
      </c>
      <c r="E14" t="s">
        <v>60</v>
      </c>
      <c r="F14" t="s">
        <v>19</v>
      </c>
      <c r="G14">
        <f t="shared" si="0"/>
        <v>1000.05</v>
      </c>
      <c r="H14">
        <f>SUMIF($F$2:$F$552,A14,$G$2:$G$552)</f>
        <v>4400.2000000000007</v>
      </c>
      <c r="I14" t="s">
        <v>475</v>
      </c>
    </row>
    <row r="15" spans="1:9" x14ac:dyDescent="0.25">
      <c r="A15" t="s">
        <v>28</v>
      </c>
      <c r="B15" t="s">
        <v>61</v>
      </c>
      <c r="C15" t="s">
        <v>30</v>
      </c>
      <c r="D15" t="s">
        <v>62</v>
      </c>
      <c r="E15" t="s">
        <v>63</v>
      </c>
      <c r="F15" t="s">
        <v>28</v>
      </c>
      <c r="G15">
        <f t="shared" si="0"/>
        <v>50.01</v>
      </c>
      <c r="H15">
        <f>SUMIF($F$2:$F$552,A15,$G$2:$G$552)</f>
        <v>2356.04</v>
      </c>
      <c r="I15" t="s">
        <v>475</v>
      </c>
    </row>
    <row r="16" spans="1:9" x14ac:dyDescent="0.25">
      <c r="A16" t="s">
        <v>5</v>
      </c>
      <c r="B16" t="s">
        <v>64</v>
      </c>
      <c r="C16" t="s">
        <v>65</v>
      </c>
      <c r="D16" t="s">
        <v>66</v>
      </c>
      <c r="E16" t="s">
        <v>67</v>
      </c>
      <c r="F16" t="s">
        <v>5</v>
      </c>
      <c r="G16">
        <f t="shared" si="0"/>
        <v>50.02</v>
      </c>
      <c r="H16">
        <f>SUMIF($F$2:$F$552,A16,$G$2:$G$552)</f>
        <v>2700.7599999999998</v>
      </c>
      <c r="I16" t="s">
        <v>475</v>
      </c>
    </row>
    <row r="17" spans="1:9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68</v>
      </c>
      <c r="G17">
        <f t="shared" si="0"/>
        <v>150.13</v>
      </c>
      <c r="H17">
        <f>SUMIF($F$2:$F$552,A17,$G$2:$G$552)</f>
        <v>3804.9400000000028</v>
      </c>
      <c r="I17" t="s">
        <v>475</v>
      </c>
    </row>
    <row r="18" spans="1:9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73</v>
      </c>
      <c r="G18">
        <f t="shared" si="0"/>
        <v>200.04</v>
      </c>
      <c r="H18">
        <f>SUMIF($F$2:$F$552,A18,$G$2:$G$552)</f>
        <v>2400.8399999999997</v>
      </c>
      <c r="I18" t="s">
        <v>475</v>
      </c>
    </row>
    <row r="19" spans="1:9" x14ac:dyDescent="0.25">
      <c r="A19" t="s">
        <v>14</v>
      </c>
      <c r="B19" t="s">
        <v>78</v>
      </c>
      <c r="C19" t="s">
        <v>79</v>
      </c>
      <c r="D19" t="s">
        <v>80</v>
      </c>
      <c r="E19" t="s">
        <v>81</v>
      </c>
      <c r="F19" t="s">
        <v>14</v>
      </c>
      <c r="G19">
        <f t="shared" si="0"/>
        <v>100.06</v>
      </c>
      <c r="H19">
        <f>SUMIF($F$2:$F$552,A19,$G$2:$G$552)</f>
        <v>2821.3799999999992</v>
      </c>
      <c r="I19" t="s">
        <v>475</v>
      </c>
    </row>
    <row r="20" spans="1:9" x14ac:dyDescent="0.25">
      <c r="A20" t="s">
        <v>33</v>
      </c>
      <c r="B20" t="s">
        <v>78</v>
      </c>
      <c r="C20" t="s">
        <v>82</v>
      </c>
      <c r="D20" t="s">
        <v>40</v>
      </c>
      <c r="E20" t="s">
        <v>83</v>
      </c>
      <c r="F20" t="s">
        <v>33</v>
      </c>
      <c r="G20">
        <f t="shared" si="0"/>
        <v>50.07</v>
      </c>
      <c r="H20">
        <f>SUMIF($F$2:$F$552,A20,$G$2:$G$552)</f>
        <v>2452.5199999999995</v>
      </c>
      <c r="I20" t="s">
        <v>475</v>
      </c>
    </row>
    <row r="21" spans="1:9" x14ac:dyDescent="0.25">
      <c r="A21" t="s">
        <v>47</v>
      </c>
      <c r="B21" t="s">
        <v>84</v>
      </c>
      <c r="C21" t="s">
        <v>85</v>
      </c>
      <c r="D21" t="s">
        <v>13</v>
      </c>
      <c r="E21" t="s">
        <v>86</v>
      </c>
      <c r="F21" t="s">
        <v>47</v>
      </c>
      <c r="G21">
        <f t="shared" si="0"/>
        <v>100</v>
      </c>
      <c r="H21">
        <f>SUMIF($F$2:$F$552,A21,$G$2:$G$552)</f>
        <v>508</v>
      </c>
      <c r="I21" t="s">
        <v>475</v>
      </c>
    </row>
    <row r="22" spans="1:9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87</v>
      </c>
      <c r="G22">
        <f t="shared" si="0"/>
        <v>200.14</v>
      </c>
      <c r="H22">
        <f>SUMIF($F$2:$F$552,A22,$G$2:$G$552)</f>
        <v>900.28</v>
      </c>
      <c r="I22" t="s">
        <v>475</v>
      </c>
    </row>
    <row r="23" spans="1:9" x14ac:dyDescent="0.25">
      <c r="A23" t="s">
        <v>33</v>
      </c>
      <c r="B23" s="1" t="s">
        <v>92</v>
      </c>
      <c r="C23" t="s">
        <v>93</v>
      </c>
      <c r="D23" t="s">
        <v>40</v>
      </c>
      <c r="E23" t="s">
        <v>94</v>
      </c>
      <c r="F23" t="s">
        <v>33</v>
      </c>
      <c r="G23">
        <f t="shared" si="0"/>
        <v>50.07</v>
      </c>
      <c r="H23">
        <f>SUMIF($F$2:$F$552,A23,$G$2:$G$552)</f>
        <v>2452.5199999999995</v>
      </c>
      <c r="I23" t="s">
        <v>475</v>
      </c>
    </row>
    <row r="24" spans="1:9" x14ac:dyDescent="0.25">
      <c r="A24" t="s">
        <v>19</v>
      </c>
      <c r="B24" s="1" t="s">
        <v>92</v>
      </c>
      <c r="C24" t="s">
        <v>21</v>
      </c>
      <c r="D24" t="s">
        <v>59</v>
      </c>
      <c r="E24" t="s">
        <v>95</v>
      </c>
      <c r="F24" t="s">
        <v>19</v>
      </c>
      <c r="G24">
        <f t="shared" si="0"/>
        <v>1000.05</v>
      </c>
      <c r="H24">
        <f>SUMIF($F$2:$F$552,A24,$G$2:$G$552)</f>
        <v>4400.2000000000007</v>
      </c>
      <c r="I24" t="s">
        <v>475</v>
      </c>
    </row>
    <row r="25" spans="1:9" x14ac:dyDescent="0.25">
      <c r="A25" t="s">
        <v>10</v>
      </c>
      <c r="B25" s="1" t="s">
        <v>96</v>
      </c>
      <c r="C25" t="s">
        <v>97</v>
      </c>
      <c r="D25" t="s">
        <v>13</v>
      </c>
      <c r="E25" t="s">
        <v>98</v>
      </c>
      <c r="F25" t="s">
        <v>10</v>
      </c>
      <c r="G25">
        <f t="shared" si="0"/>
        <v>100</v>
      </c>
      <c r="H25">
        <f>SUMIF($F$2:$F$552,A25,$G$2:$G$552)</f>
        <v>200</v>
      </c>
      <c r="I25" t="s">
        <v>475</v>
      </c>
    </row>
    <row r="26" spans="1:9" x14ac:dyDescent="0.25">
      <c r="A26" t="s">
        <v>24</v>
      </c>
      <c r="B26" s="1" t="s">
        <v>99</v>
      </c>
      <c r="C26" t="s">
        <v>100</v>
      </c>
      <c r="D26" t="s">
        <v>54</v>
      </c>
      <c r="E26" t="s">
        <v>101</v>
      </c>
      <c r="F26" t="s">
        <v>24</v>
      </c>
      <c r="G26">
        <f t="shared" si="0"/>
        <v>100.09</v>
      </c>
      <c r="H26">
        <f>SUMIF($F$2:$F$552,A26,$G$2:$G$552)</f>
        <v>4003.3300000000022</v>
      </c>
      <c r="I26" t="s">
        <v>475</v>
      </c>
    </row>
    <row r="27" spans="1:9" x14ac:dyDescent="0.25">
      <c r="A27" t="s">
        <v>33</v>
      </c>
      <c r="B27" s="1" t="s">
        <v>99</v>
      </c>
      <c r="C27" t="s">
        <v>102</v>
      </c>
      <c r="D27" t="s">
        <v>40</v>
      </c>
      <c r="E27" t="s">
        <v>103</v>
      </c>
      <c r="F27" t="s">
        <v>33</v>
      </c>
      <c r="G27">
        <f t="shared" si="0"/>
        <v>50.07</v>
      </c>
      <c r="H27">
        <f>SUMIF($F$2:$F$552,A27,$G$2:$G$552)</f>
        <v>2452.5199999999995</v>
      </c>
      <c r="I27" t="s">
        <v>475</v>
      </c>
    </row>
    <row r="28" spans="1:9" x14ac:dyDescent="0.25">
      <c r="A28" t="s">
        <v>42</v>
      </c>
      <c r="B28" s="2">
        <v>45033</v>
      </c>
      <c r="C28" t="s">
        <v>104</v>
      </c>
      <c r="D28">
        <v>200</v>
      </c>
      <c r="E28">
        <v>6243.19</v>
      </c>
      <c r="F28" t="s">
        <v>42</v>
      </c>
      <c r="G28">
        <f t="shared" si="0"/>
        <v>200</v>
      </c>
      <c r="H28">
        <f>SUMIF($F$2:$F$552,A28,$G$2:$G$552)</f>
        <v>3400.06</v>
      </c>
      <c r="I28" t="s">
        <v>475</v>
      </c>
    </row>
    <row r="29" spans="1:9" x14ac:dyDescent="0.25">
      <c r="A29" t="s">
        <v>5</v>
      </c>
      <c r="B29" s="2">
        <v>45033</v>
      </c>
      <c r="C29" t="s">
        <v>65</v>
      </c>
      <c r="D29">
        <v>50.02</v>
      </c>
      <c r="E29">
        <v>6293.21</v>
      </c>
      <c r="F29" t="s">
        <v>5</v>
      </c>
      <c r="G29">
        <f t="shared" si="0"/>
        <v>50.02</v>
      </c>
      <c r="H29">
        <f>SUMIF($F$2:$F$552,A29,$G$2:$G$552)</f>
        <v>2700.7599999999998</v>
      </c>
      <c r="I29" t="s">
        <v>475</v>
      </c>
    </row>
    <row r="30" spans="1:9" x14ac:dyDescent="0.25">
      <c r="A30" t="s">
        <v>14</v>
      </c>
      <c r="B30" s="3">
        <v>45043</v>
      </c>
      <c r="C30" t="s">
        <v>105</v>
      </c>
      <c r="D30">
        <v>100</v>
      </c>
      <c r="E30">
        <v>6393.21</v>
      </c>
      <c r="F30" t="s">
        <v>14</v>
      </c>
      <c r="G30">
        <f t="shared" si="0"/>
        <v>100</v>
      </c>
      <c r="H30">
        <f>SUMIF($F$2:$F$552,A30,$G$2:$G$552)</f>
        <v>2821.3799999999992</v>
      </c>
      <c r="I30" t="s">
        <v>475</v>
      </c>
    </row>
    <row r="31" spans="1:9" x14ac:dyDescent="0.25">
      <c r="A31" t="s">
        <v>73</v>
      </c>
      <c r="B31" s="3">
        <v>45047</v>
      </c>
      <c r="C31" t="s">
        <v>106</v>
      </c>
      <c r="D31">
        <v>200.04</v>
      </c>
      <c r="E31">
        <v>6593.25</v>
      </c>
      <c r="F31" t="s">
        <v>73</v>
      </c>
      <c r="G31">
        <f t="shared" si="0"/>
        <v>200.04</v>
      </c>
      <c r="H31">
        <f>SUMIF($F$2:$F$552,A31,$G$2:$G$552)</f>
        <v>2400.8399999999997</v>
      </c>
      <c r="I31" t="s">
        <v>475</v>
      </c>
    </row>
    <row r="32" spans="1:9" x14ac:dyDescent="0.25">
      <c r="A32" t="s">
        <v>47</v>
      </c>
      <c r="B32" s="3">
        <v>45047</v>
      </c>
      <c r="C32" t="s">
        <v>107</v>
      </c>
      <c r="D32">
        <v>200</v>
      </c>
      <c r="E32">
        <v>6793.25</v>
      </c>
      <c r="F32" t="s">
        <v>47</v>
      </c>
      <c r="G32">
        <f t="shared" si="0"/>
        <v>200</v>
      </c>
      <c r="H32">
        <f>SUMIF($F$2:$F$552,A32,$G$2:$G$552)</f>
        <v>508</v>
      </c>
      <c r="I32" t="s">
        <v>475</v>
      </c>
    </row>
    <row r="33" spans="1:9" x14ac:dyDescent="0.25">
      <c r="A33" t="s">
        <v>87</v>
      </c>
      <c r="B33" s="3">
        <v>45047</v>
      </c>
      <c r="C33" t="s">
        <v>108</v>
      </c>
      <c r="D33">
        <v>100.14</v>
      </c>
      <c r="E33">
        <v>6893.39</v>
      </c>
      <c r="F33" t="s">
        <v>87</v>
      </c>
      <c r="G33">
        <f t="shared" si="0"/>
        <v>100.14</v>
      </c>
      <c r="H33">
        <f>SUMIF($F$2:$F$552,A33,$G$2:$G$552)</f>
        <v>900.28</v>
      </c>
      <c r="I33" t="s">
        <v>475</v>
      </c>
    </row>
    <row r="34" spans="1:9" x14ac:dyDescent="0.25">
      <c r="A34" t="s">
        <v>24</v>
      </c>
      <c r="B34" s="3">
        <v>45047</v>
      </c>
      <c r="C34" t="s">
        <v>109</v>
      </c>
      <c r="D34">
        <v>100.09</v>
      </c>
      <c r="E34">
        <v>6993.48</v>
      </c>
      <c r="F34" t="s">
        <v>24</v>
      </c>
      <c r="G34">
        <f t="shared" si="0"/>
        <v>100.09</v>
      </c>
      <c r="H34">
        <f>SUMIF($F$2:$F$552,A34,$G$2:$G$552)</f>
        <v>4003.3300000000022</v>
      </c>
      <c r="I34" t="s">
        <v>475</v>
      </c>
    </row>
    <row r="35" spans="1:9" x14ac:dyDescent="0.25">
      <c r="A35" t="s">
        <v>68</v>
      </c>
      <c r="B35" s="3">
        <v>45047</v>
      </c>
      <c r="C35" t="s">
        <v>110</v>
      </c>
      <c r="D35">
        <v>50.13</v>
      </c>
      <c r="E35">
        <v>7043.61</v>
      </c>
      <c r="F35" t="s">
        <v>68</v>
      </c>
      <c r="G35">
        <f t="shared" si="0"/>
        <v>50.13</v>
      </c>
      <c r="H35">
        <f>SUMIF($F$2:$F$552,A35,$G$2:$G$552)</f>
        <v>3804.9400000000028</v>
      </c>
      <c r="I35" t="s">
        <v>475</v>
      </c>
    </row>
    <row r="36" spans="1:9" x14ac:dyDescent="0.25">
      <c r="A36" t="s">
        <v>28</v>
      </c>
      <c r="B36" s="3">
        <v>45048</v>
      </c>
      <c r="C36" t="s">
        <v>30</v>
      </c>
      <c r="D36">
        <v>50.01</v>
      </c>
      <c r="E36">
        <v>7093.62</v>
      </c>
      <c r="F36" t="s">
        <v>28</v>
      </c>
      <c r="G36">
        <f t="shared" si="0"/>
        <v>50.01</v>
      </c>
      <c r="H36">
        <f>SUMIF($F$2:$F$552,A36,$G$2:$G$552)</f>
        <v>2356.04</v>
      </c>
      <c r="I36" t="s">
        <v>475</v>
      </c>
    </row>
    <row r="37" spans="1:9" x14ac:dyDescent="0.25">
      <c r="A37" t="s">
        <v>19</v>
      </c>
      <c r="B37" s="3">
        <v>45049</v>
      </c>
      <c r="C37" t="s">
        <v>21</v>
      </c>
      <c r="D37">
        <v>1000.05</v>
      </c>
      <c r="E37">
        <v>8093.67</v>
      </c>
      <c r="F37" t="s">
        <v>19</v>
      </c>
      <c r="G37">
        <f t="shared" si="0"/>
        <v>1000.05</v>
      </c>
      <c r="H37">
        <f>SUMIF($F$2:$F$552,A37,$G$2:$G$552)</f>
        <v>4400.2000000000007</v>
      </c>
      <c r="I37" t="s">
        <v>475</v>
      </c>
    </row>
    <row r="38" spans="1:9" x14ac:dyDescent="0.25">
      <c r="A38" t="s">
        <v>33</v>
      </c>
      <c r="B38" s="3">
        <v>45054</v>
      </c>
      <c r="C38" t="s">
        <v>111</v>
      </c>
      <c r="D38">
        <v>50.07</v>
      </c>
      <c r="E38">
        <v>8143.74</v>
      </c>
      <c r="F38" t="s">
        <v>33</v>
      </c>
      <c r="G38">
        <f t="shared" si="0"/>
        <v>50.07</v>
      </c>
      <c r="H38">
        <f>SUMIF($F$2:$F$552,A38,$G$2:$G$552)</f>
        <v>2452.5199999999995</v>
      </c>
      <c r="I38" t="s">
        <v>475</v>
      </c>
    </row>
    <row r="39" spans="1:9" x14ac:dyDescent="0.25">
      <c r="A39" t="s">
        <v>68</v>
      </c>
      <c r="B39" s="3">
        <v>45058</v>
      </c>
      <c r="C39" t="s">
        <v>112</v>
      </c>
      <c r="D39">
        <v>100.13</v>
      </c>
      <c r="E39">
        <v>8243.8700000000008</v>
      </c>
      <c r="F39" t="s">
        <v>68</v>
      </c>
      <c r="G39">
        <f t="shared" si="0"/>
        <v>100.13</v>
      </c>
      <c r="H39">
        <f>SUMIF($F$2:$F$552,A39,$G$2:$G$552)</f>
        <v>3804.9400000000028</v>
      </c>
      <c r="I39" t="s">
        <v>475</v>
      </c>
    </row>
    <row r="40" spans="1:9" x14ac:dyDescent="0.25">
      <c r="A40" t="s">
        <v>5</v>
      </c>
      <c r="B40" s="3">
        <v>45062</v>
      </c>
      <c r="C40" t="s">
        <v>65</v>
      </c>
      <c r="D40">
        <v>50.02</v>
      </c>
      <c r="E40">
        <v>8293.89</v>
      </c>
      <c r="F40" t="s">
        <v>5</v>
      </c>
      <c r="G40">
        <f t="shared" si="0"/>
        <v>50.02</v>
      </c>
      <c r="H40">
        <f>SUMIF($F$2:$F$552,A40,$G$2:$G$552)</f>
        <v>2700.7599999999998</v>
      </c>
      <c r="I40" t="s">
        <v>475</v>
      </c>
    </row>
    <row r="41" spans="1:9" x14ac:dyDescent="0.25">
      <c r="A41" t="s">
        <v>14</v>
      </c>
      <c r="B41" s="3">
        <v>45077</v>
      </c>
      <c r="C41" t="s">
        <v>113</v>
      </c>
      <c r="D41">
        <v>100.06</v>
      </c>
      <c r="E41">
        <v>8393.9500000000007</v>
      </c>
      <c r="F41" t="s">
        <v>14</v>
      </c>
      <c r="G41">
        <f t="shared" si="0"/>
        <v>100.06</v>
      </c>
      <c r="H41">
        <f>SUMIF($F$2:$F$552,A41,$G$2:$G$552)</f>
        <v>2821.3799999999992</v>
      </c>
      <c r="I41" t="s">
        <v>475</v>
      </c>
    </row>
    <row r="42" spans="1:9" x14ac:dyDescent="0.25">
      <c r="A42" t="s">
        <v>24</v>
      </c>
      <c r="B42" s="3">
        <v>45082</v>
      </c>
      <c r="C42" t="s">
        <v>114</v>
      </c>
      <c r="D42">
        <v>100.09</v>
      </c>
      <c r="E42">
        <v>8494.0400000000009</v>
      </c>
      <c r="F42" t="s">
        <v>24</v>
      </c>
      <c r="G42">
        <f>VALUE(D42)</f>
        <v>100.09</v>
      </c>
      <c r="H42">
        <f>SUMIF($F$2:$F$552,A42,$G$2:$G$552)</f>
        <v>4003.3300000000022</v>
      </c>
      <c r="I42" t="s">
        <v>475</v>
      </c>
    </row>
    <row r="43" spans="1:9" x14ac:dyDescent="0.25">
      <c r="A43" t="s">
        <v>68</v>
      </c>
      <c r="B43" s="3">
        <v>45085</v>
      </c>
      <c r="C43" t="s">
        <v>115</v>
      </c>
      <c r="D43">
        <v>100.13</v>
      </c>
      <c r="E43">
        <v>8594.17</v>
      </c>
      <c r="F43" t="s">
        <v>68</v>
      </c>
      <c r="G43">
        <f>VALUE(D43)</f>
        <v>100.13</v>
      </c>
      <c r="H43">
        <f>SUMIF($F$2:$F$552,A43,$G$2:$G$552)</f>
        <v>3804.9400000000028</v>
      </c>
      <c r="I43" t="s">
        <v>475</v>
      </c>
    </row>
    <row r="44" spans="1:9" x14ac:dyDescent="0.25">
      <c r="A44" t="s">
        <v>5</v>
      </c>
      <c r="B44" s="3">
        <v>45093</v>
      </c>
      <c r="C44" t="s">
        <v>65</v>
      </c>
      <c r="D44">
        <v>50.02</v>
      </c>
      <c r="E44">
        <v>8644.19</v>
      </c>
      <c r="F44" t="s">
        <v>5</v>
      </c>
      <c r="G44">
        <f>VALUE(D44)</f>
        <v>50.02</v>
      </c>
      <c r="H44">
        <f>SUMIF($F$2:$F$552,A44,$G$2:$G$552)</f>
        <v>2700.7599999999998</v>
      </c>
      <c r="I44" t="s">
        <v>475</v>
      </c>
    </row>
    <row r="45" spans="1:9" x14ac:dyDescent="0.25">
      <c r="A45" t="s">
        <v>116</v>
      </c>
      <c r="B45" s="3">
        <v>45097</v>
      </c>
      <c r="C45" t="s">
        <v>117</v>
      </c>
      <c r="D45">
        <v>200.18</v>
      </c>
      <c r="E45">
        <v>8844.3700000000008</v>
      </c>
      <c r="F45" t="s">
        <v>116</v>
      </c>
      <c r="G45">
        <f>VALUE(D45)</f>
        <v>200.18</v>
      </c>
      <c r="H45">
        <f>SUMIF($F$2:$F$552,A45,$G$2:$G$552)</f>
        <v>500.18</v>
      </c>
      <c r="I45" t="s">
        <v>475</v>
      </c>
    </row>
    <row r="46" spans="1:9" x14ac:dyDescent="0.25">
      <c r="A46" t="s">
        <v>28</v>
      </c>
      <c r="B46" s="3">
        <v>45098</v>
      </c>
      <c r="C46" t="s">
        <v>30</v>
      </c>
      <c r="D46">
        <v>100.01</v>
      </c>
      <c r="E46">
        <v>8944.3799999999992</v>
      </c>
      <c r="F46" t="s">
        <v>28</v>
      </c>
      <c r="G46">
        <f>VALUE(D46)</f>
        <v>100.01</v>
      </c>
      <c r="H46">
        <f>SUMIF($F$2:$F$552,A46,$G$2:$G$552)</f>
        <v>2356.04</v>
      </c>
      <c r="I46" t="s">
        <v>475</v>
      </c>
    </row>
    <row r="47" spans="1:9" x14ac:dyDescent="0.25">
      <c r="A47" t="s">
        <v>33</v>
      </c>
      <c r="B47" s="3">
        <v>45099</v>
      </c>
      <c r="C47" t="s">
        <v>118</v>
      </c>
      <c r="D47">
        <v>50.07</v>
      </c>
      <c r="E47">
        <v>8994.4500000000007</v>
      </c>
      <c r="F47" t="s">
        <v>33</v>
      </c>
      <c r="G47">
        <f t="shared" ref="G47:G52" si="1">VALUE(D47)</f>
        <v>50.07</v>
      </c>
      <c r="H47">
        <f>SUMIF($F$2:$F$552,A47,$G$2:$G$552)</f>
        <v>2452.5199999999995</v>
      </c>
      <c r="I47" t="s">
        <v>475</v>
      </c>
    </row>
    <row r="48" spans="1:9" x14ac:dyDescent="0.25">
      <c r="A48" t="s">
        <v>14</v>
      </c>
      <c r="B48" s="3">
        <v>45107</v>
      </c>
      <c r="C48" t="s">
        <v>119</v>
      </c>
      <c r="D48">
        <v>100.06</v>
      </c>
      <c r="E48">
        <v>9094.51</v>
      </c>
      <c r="F48" t="s">
        <v>14</v>
      </c>
      <c r="G48">
        <f t="shared" si="1"/>
        <v>100.06</v>
      </c>
      <c r="H48">
        <f>SUMIF($F$2:$F$552,A48,$G$2:$G$552)</f>
        <v>2821.3799999999992</v>
      </c>
      <c r="I48" t="s">
        <v>475</v>
      </c>
    </row>
    <row r="49" spans="1:9" x14ac:dyDescent="0.25">
      <c r="A49" t="s">
        <v>24</v>
      </c>
      <c r="B49" s="4">
        <v>45110</v>
      </c>
      <c r="C49" t="s">
        <v>120</v>
      </c>
      <c r="D49">
        <v>100.09</v>
      </c>
      <c r="E49">
        <v>9194.6</v>
      </c>
      <c r="F49" t="s">
        <v>24</v>
      </c>
      <c r="G49">
        <f t="shared" si="1"/>
        <v>100.09</v>
      </c>
      <c r="H49">
        <f>SUMIF($F$2:$F$552,A49,$G$2:$G$552)</f>
        <v>4003.3300000000022</v>
      </c>
      <c r="I49" t="s">
        <v>475</v>
      </c>
    </row>
    <row r="50" spans="1:9" x14ac:dyDescent="0.25">
      <c r="A50" t="s">
        <v>68</v>
      </c>
      <c r="B50" s="4">
        <v>45117</v>
      </c>
      <c r="C50" t="s">
        <v>121</v>
      </c>
      <c r="D50">
        <v>100.13</v>
      </c>
      <c r="E50">
        <v>9294.73</v>
      </c>
      <c r="F50" t="s">
        <v>68</v>
      </c>
      <c r="G50">
        <f t="shared" si="1"/>
        <v>100.13</v>
      </c>
      <c r="H50">
        <f>SUMIF($F$2:$F$552,A50,$G$2:$G$552)</f>
        <v>3804.9400000000028</v>
      </c>
      <c r="I50" t="s">
        <v>475</v>
      </c>
    </row>
    <row r="51" spans="1:9" x14ac:dyDescent="0.25">
      <c r="A51" t="s">
        <v>33</v>
      </c>
      <c r="B51" s="3">
        <v>45131</v>
      </c>
      <c r="C51" t="s">
        <v>122</v>
      </c>
      <c r="D51">
        <v>50.07</v>
      </c>
      <c r="E51">
        <v>9394.82</v>
      </c>
      <c r="F51" t="s">
        <v>33</v>
      </c>
      <c r="G51">
        <f t="shared" si="1"/>
        <v>50.07</v>
      </c>
      <c r="H51">
        <f>SUMIF($F$2:$F$552,A51,$G$2:$G$552)</f>
        <v>2452.5199999999995</v>
      </c>
      <c r="I51" t="s">
        <v>475</v>
      </c>
    </row>
    <row r="52" spans="1:9" x14ac:dyDescent="0.25">
      <c r="A52" t="s">
        <v>14</v>
      </c>
      <c r="B52" s="3">
        <v>45133</v>
      </c>
      <c r="C52" t="s">
        <v>123</v>
      </c>
      <c r="D52">
        <v>100.06</v>
      </c>
      <c r="E52">
        <v>9494.8799999999992</v>
      </c>
      <c r="F52" t="s">
        <v>14</v>
      </c>
      <c r="G52">
        <f t="shared" si="1"/>
        <v>100.06</v>
      </c>
      <c r="H52">
        <f>SUMIF($F$2:$F$552,A52,$G$2:$G$552)</f>
        <v>2821.3799999999992</v>
      </c>
      <c r="I52" t="s">
        <v>475</v>
      </c>
    </row>
    <row r="53" spans="1:9" x14ac:dyDescent="0.25">
      <c r="A53" t="s">
        <v>5</v>
      </c>
      <c r="B53" s="4">
        <v>45124</v>
      </c>
      <c r="C53" t="s">
        <v>65</v>
      </c>
      <c r="D53">
        <v>50.02</v>
      </c>
      <c r="E53">
        <v>9344.75</v>
      </c>
      <c r="F53" t="s">
        <v>5</v>
      </c>
      <c r="G53">
        <f>VALUE(D53)</f>
        <v>50.02</v>
      </c>
      <c r="H53">
        <f>SUMIF($F$2:$F$552,A53,$G$2:$G$552)</f>
        <v>2700.7599999999998</v>
      </c>
      <c r="I53" t="s">
        <v>475</v>
      </c>
    </row>
    <row r="54" spans="1:9" x14ac:dyDescent="0.25">
      <c r="A54" t="s">
        <v>87</v>
      </c>
      <c r="B54" s="4">
        <v>45138</v>
      </c>
      <c r="C54" t="s">
        <v>124</v>
      </c>
      <c r="D54">
        <v>600</v>
      </c>
      <c r="E54">
        <v>10094.879999999999</v>
      </c>
      <c r="F54" t="s">
        <v>87</v>
      </c>
      <c r="G54">
        <f>VALUE(D54)</f>
        <v>600</v>
      </c>
      <c r="H54">
        <f>SUMIF($F$2:$F$552,A54,$G$2:$G$552)</f>
        <v>900.28</v>
      </c>
      <c r="I54" t="s">
        <v>475</v>
      </c>
    </row>
    <row r="55" spans="1:9" x14ac:dyDescent="0.25">
      <c r="A55" t="s">
        <v>116</v>
      </c>
      <c r="B55" s="4">
        <v>45138</v>
      </c>
      <c r="C55" t="s">
        <v>125</v>
      </c>
      <c r="D55">
        <v>300</v>
      </c>
      <c r="E55">
        <v>10394.879999999999</v>
      </c>
      <c r="F55" t="s">
        <v>116</v>
      </c>
      <c r="G55">
        <f>VALUE(D55)</f>
        <v>300</v>
      </c>
      <c r="H55">
        <f>SUMIF($F$2:$F$552,A55,$G$2:$G$552)</f>
        <v>500.18</v>
      </c>
      <c r="I55" t="s">
        <v>475</v>
      </c>
    </row>
    <row r="56" spans="1:9" x14ac:dyDescent="0.25">
      <c r="A56" t="s">
        <v>126</v>
      </c>
      <c r="B56" s="4">
        <v>45138</v>
      </c>
      <c r="C56" t="s">
        <v>127</v>
      </c>
      <c r="D56">
        <v>200.1</v>
      </c>
      <c r="E56">
        <v>10594.98</v>
      </c>
      <c r="F56" t="s">
        <v>126</v>
      </c>
      <c r="G56">
        <f>VALUE(D56)</f>
        <v>200.1</v>
      </c>
      <c r="H56">
        <f>SUMIF($F$2:$F$552,A56,$G$2:$G$552)</f>
        <v>200.1</v>
      </c>
      <c r="I56" t="s">
        <v>475</v>
      </c>
    </row>
    <row r="57" spans="1:9" x14ac:dyDescent="0.25">
      <c r="B57" s="4">
        <v>45139</v>
      </c>
      <c r="C57" t="s">
        <v>128</v>
      </c>
      <c r="E57">
        <v>10594.98</v>
      </c>
    </row>
    <row r="58" spans="1:9" x14ac:dyDescent="0.25">
      <c r="A58" t="s">
        <v>68</v>
      </c>
      <c r="B58" s="4">
        <v>45149</v>
      </c>
      <c r="C58" t="s">
        <v>129</v>
      </c>
      <c r="D58">
        <v>100.13</v>
      </c>
      <c r="E58">
        <v>10695.11</v>
      </c>
      <c r="F58" t="s">
        <v>68</v>
      </c>
      <c r="G58">
        <f>VALUE(D58)</f>
        <v>100.13</v>
      </c>
      <c r="H58">
        <f>SUMIF($F$2:$F$552,A58,$G$2:$G$552)</f>
        <v>3804.9400000000028</v>
      </c>
      <c r="I58" t="s">
        <v>475</v>
      </c>
    </row>
    <row r="59" spans="1:9" x14ac:dyDescent="0.25">
      <c r="A59" t="s">
        <v>14</v>
      </c>
      <c r="B59" s="4">
        <v>45152</v>
      </c>
      <c r="C59" t="s">
        <v>130</v>
      </c>
      <c r="D59">
        <v>100.06</v>
      </c>
      <c r="E59">
        <v>10795.17</v>
      </c>
      <c r="F59" t="s">
        <v>14</v>
      </c>
      <c r="G59">
        <f>VALUE(D59)</f>
        <v>100.06</v>
      </c>
      <c r="H59">
        <f>SUMIF($F$2:$F$552,A59,$G$2:$G$552)</f>
        <v>2821.3799999999992</v>
      </c>
      <c r="I59" t="s">
        <v>475</v>
      </c>
    </row>
    <row r="60" spans="1:9" x14ac:dyDescent="0.25">
      <c r="A60" t="s">
        <v>5</v>
      </c>
      <c r="B60" s="4">
        <v>45154</v>
      </c>
      <c r="C60" t="s">
        <v>65</v>
      </c>
      <c r="D60">
        <v>50.02</v>
      </c>
      <c r="E60">
        <v>10845.19</v>
      </c>
      <c r="F60" t="s">
        <v>5</v>
      </c>
      <c r="G60">
        <f>VALUE(D60)</f>
        <v>50.02</v>
      </c>
      <c r="H60">
        <f>SUMIF($F$2:$F$552,A60,$G$2:$G$552)</f>
        <v>2700.7599999999998</v>
      </c>
      <c r="I60" t="s">
        <v>475</v>
      </c>
    </row>
    <row r="61" spans="1:9" x14ac:dyDescent="0.25">
      <c r="B61" s="4">
        <v>45166</v>
      </c>
      <c r="C61" t="s">
        <v>131</v>
      </c>
      <c r="D61">
        <v>-6500</v>
      </c>
      <c r="E61">
        <v>4345.1899999999996</v>
      </c>
      <c r="H61">
        <f>SUMIF($F$2:$F$552,A61,$G$2:$G$552)</f>
        <v>0</v>
      </c>
      <c r="I61" t="s">
        <v>479</v>
      </c>
    </row>
    <row r="62" spans="1:9" x14ac:dyDescent="0.25">
      <c r="A62" t="s">
        <v>28</v>
      </c>
      <c r="B62" s="4">
        <v>45168</v>
      </c>
      <c r="C62" t="s">
        <v>30</v>
      </c>
      <c r="D62">
        <v>100</v>
      </c>
      <c r="E62">
        <v>4445.1899999999996</v>
      </c>
      <c r="F62" t="s">
        <v>28</v>
      </c>
      <c r="G62">
        <f>VALUE(D62)</f>
        <v>100</v>
      </c>
      <c r="H62">
        <f>SUMIF($F$2:$F$552,A62,$G$2:$G$552)</f>
        <v>2356.04</v>
      </c>
      <c r="I62" t="s">
        <v>475</v>
      </c>
    </row>
    <row r="63" spans="1:9" x14ac:dyDescent="0.25">
      <c r="A63" t="s">
        <v>68</v>
      </c>
      <c r="B63" s="4">
        <v>45174</v>
      </c>
      <c r="C63" t="s">
        <v>132</v>
      </c>
      <c r="D63">
        <v>100.13</v>
      </c>
      <c r="E63">
        <v>4545.32</v>
      </c>
      <c r="F63" t="s">
        <v>68</v>
      </c>
      <c r="G63">
        <f t="shared" ref="G63:G68" si="2">VALUE(D63)</f>
        <v>100.13</v>
      </c>
      <c r="H63">
        <f>SUMIF($F$2:$F$552,A63,$G$2:$G$552)</f>
        <v>3804.9400000000028</v>
      </c>
      <c r="I63" t="s">
        <v>475</v>
      </c>
    </row>
    <row r="64" spans="1:9" x14ac:dyDescent="0.25">
      <c r="A64" t="s">
        <v>24</v>
      </c>
      <c r="B64" s="4">
        <v>45177</v>
      </c>
      <c r="C64" t="s">
        <v>133</v>
      </c>
      <c r="D64">
        <v>100.09</v>
      </c>
      <c r="E64">
        <v>4645.41</v>
      </c>
      <c r="F64" t="s">
        <v>24</v>
      </c>
      <c r="G64">
        <f t="shared" si="2"/>
        <v>100.09</v>
      </c>
      <c r="H64">
        <f>SUMIF($F$2:$F$552,A64,$G$2:$G$552)</f>
        <v>4003.3300000000022</v>
      </c>
      <c r="I64" t="s">
        <v>475</v>
      </c>
    </row>
    <row r="65" spans="1:9" x14ac:dyDescent="0.25">
      <c r="A65" t="s">
        <v>33</v>
      </c>
      <c r="B65" s="4">
        <v>45177</v>
      </c>
      <c r="C65" t="s">
        <v>134</v>
      </c>
      <c r="D65">
        <v>100.07</v>
      </c>
      <c r="E65">
        <v>4745.4799999999996</v>
      </c>
      <c r="F65" t="s">
        <v>33</v>
      </c>
      <c r="G65">
        <f t="shared" si="2"/>
        <v>100.07</v>
      </c>
      <c r="H65">
        <f>SUMIF($F$2:$F$552,A65,$G$2:$G$552)</f>
        <v>2452.5199999999995</v>
      </c>
      <c r="I65" t="s">
        <v>475</v>
      </c>
    </row>
    <row r="66" spans="1:9" x14ac:dyDescent="0.25">
      <c r="A66" t="s">
        <v>73</v>
      </c>
      <c r="B66" s="4">
        <v>45180</v>
      </c>
      <c r="C66" t="s">
        <v>135</v>
      </c>
      <c r="D66">
        <v>200.08</v>
      </c>
      <c r="E66">
        <v>4945.5600000000004</v>
      </c>
      <c r="F66" t="s">
        <v>73</v>
      </c>
      <c r="G66">
        <f t="shared" si="2"/>
        <v>200.08</v>
      </c>
      <c r="H66">
        <f>SUMIF($F$2:$F$552,A66,$G$2:$G$552)</f>
        <v>2400.8399999999997</v>
      </c>
      <c r="I66" t="s">
        <v>475</v>
      </c>
    </row>
    <row r="67" spans="1:9" x14ac:dyDescent="0.25">
      <c r="A67" t="s">
        <v>5</v>
      </c>
      <c r="B67" s="4">
        <v>45187</v>
      </c>
      <c r="C67" t="s">
        <v>65</v>
      </c>
      <c r="D67">
        <v>50.02</v>
      </c>
      <c r="E67">
        <v>4530.58</v>
      </c>
      <c r="F67" t="s">
        <v>5</v>
      </c>
      <c r="G67">
        <f t="shared" si="2"/>
        <v>50.02</v>
      </c>
      <c r="H67">
        <f>SUMIF($F$2:$F$552,A67,$G$2:$G$552)</f>
        <v>2700.7599999999998</v>
      </c>
      <c r="I67" t="s">
        <v>475</v>
      </c>
    </row>
    <row r="68" spans="1:9" x14ac:dyDescent="0.25">
      <c r="A68" t="s">
        <v>14</v>
      </c>
      <c r="B68" s="4">
        <v>45198</v>
      </c>
      <c r="C68" t="s">
        <v>136</v>
      </c>
      <c r="D68">
        <v>100.06</v>
      </c>
      <c r="E68">
        <v>4630.6400000000003</v>
      </c>
      <c r="F68" t="s">
        <v>14</v>
      </c>
      <c r="G68">
        <f t="shared" si="2"/>
        <v>100.06</v>
      </c>
      <c r="H68">
        <f>SUMIF($F$2:$F$552,A68,$G$2:$G$552)</f>
        <v>2821.3799999999992</v>
      </c>
      <c r="I68" t="s">
        <v>475</v>
      </c>
    </row>
    <row r="69" spans="1:9" x14ac:dyDescent="0.25">
      <c r="B69" s="4"/>
    </row>
    <row r="70" spans="1:9" x14ac:dyDescent="0.25">
      <c r="A70" t="s">
        <v>68</v>
      </c>
      <c r="B70" s="4">
        <v>45201</v>
      </c>
      <c r="C70" t="s">
        <v>137</v>
      </c>
      <c r="D70">
        <v>100.13</v>
      </c>
      <c r="E70">
        <v>4730.7700000000004</v>
      </c>
      <c r="F70" t="s">
        <v>68</v>
      </c>
      <c r="G70">
        <f t="shared" ref="G70:G80" si="3">VALUE(D70)</f>
        <v>100.13</v>
      </c>
      <c r="H70">
        <f>SUMIF($F$2:$F$552,A70,$G$2:$G$552)</f>
        <v>3804.9400000000028</v>
      </c>
      <c r="I70" t="s">
        <v>475</v>
      </c>
    </row>
    <row r="71" spans="1:9" x14ac:dyDescent="0.25">
      <c r="A71" t="s">
        <v>24</v>
      </c>
      <c r="B71" s="4">
        <v>45201</v>
      </c>
      <c r="C71" t="s">
        <v>138</v>
      </c>
      <c r="D71">
        <v>100.09</v>
      </c>
      <c r="E71">
        <v>4830.8599999999997</v>
      </c>
      <c r="F71" t="s">
        <v>24</v>
      </c>
      <c r="G71">
        <f t="shared" si="3"/>
        <v>100.09</v>
      </c>
      <c r="H71">
        <f>SUMIF($F$2:$F$552,A71,$G$2:$G$552)</f>
        <v>4003.3300000000022</v>
      </c>
      <c r="I71" t="s">
        <v>475</v>
      </c>
    </row>
    <row r="72" spans="1:9" x14ac:dyDescent="0.25">
      <c r="A72" t="s">
        <v>28</v>
      </c>
      <c r="B72" s="4">
        <v>45202</v>
      </c>
      <c r="C72" t="s">
        <v>30</v>
      </c>
      <c r="D72">
        <v>300</v>
      </c>
      <c r="E72">
        <v>5114.8599999999997</v>
      </c>
      <c r="F72" t="s">
        <v>28</v>
      </c>
      <c r="G72">
        <f t="shared" si="3"/>
        <v>300</v>
      </c>
      <c r="H72">
        <f>SUMIF($F$2:$F$552,A72,$G$2:$G$552)</f>
        <v>2356.04</v>
      </c>
      <c r="I72" t="s">
        <v>475</v>
      </c>
    </row>
    <row r="73" spans="1:9" x14ac:dyDescent="0.25">
      <c r="A73" t="s">
        <v>19</v>
      </c>
      <c r="B73" s="4">
        <v>45202</v>
      </c>
      <c r="C73" t="s">
        <v>21</v>
      </c>
      <c r="D73">
        <v>100.05</v>
      </c>
      <c r="E73">
        <v>5214.91</v>
      </c>
      <c r="F73" t="s">
        <v>19</v>
      </c>
      <c r="G73">
        <f t="shared" si="3"/>
        <v>100.05</v>
      </c>
      <c r="H73">
        <f>SUMIF($F$2:$F$552,A73,$G$2:$G$552)</f>
        <v>4400.2000000000007</v>
      </c>
      <c r="I73" t="s">
        <v>475</v>
      </c>
    </row>
    <row r="74" spans="1:9" x14ac:dyDescent="0.25">
      <c r="A74" t="s">
        <v>5</v>
      </c>
      <c r="B74" s="4">
        <v>45215</v>
      </c>
      <c r="C74" t="s">
        <v>65</v>
      </c>
      <c r="D74">
        <v>50.02</v>
      </c>
      <c r="E74">
        <v>5264.93</v>
      </c>
      <c r="F74" t="s">
        <v>5</v>
      </c>
      <c r="G74">
        <f t="shared" si="3"/>
        <v>50.02</v>
      </c>
      <c r="H74">
        <f>SUMIF($F$2:$F$552,A74,$G$2:$G$552)</f>
        <v>2700.7599999999998</v>
      </c>
      <c r="I74" t="s">
        <v>475</v>
      </c>
    </row>
    <row r="75" spans="1:9" x14ac:dyDescent="0.25">
      <c r="A75" t="s">
        <v>14</v>
      </c>
      <c r="B75" s="4">
        <v>45229</v>
      </c>
      <c r="C75" t="s">
        <v>139</v>
      </c>
      <c r="D75">
        <v>100.06</v>
      </c>
      <c r="E75">
        <v>5364.99</v>
      </c>
      <c r="F75" t="s">
        <v>14</v>
      </c>
      <c r="G75">
        <f t="shared" si="3"/>
        <v>100.06</v>
      </c>
      <c r="H75">
        <f>SUMIF($F$2:$F$552,A75,$G$2:$G$552)</f>
        <v>2821.3799999999992</v>
      </c>
      <c r="I75" t="s">
        <v>475</v>
      </c>
    </row>
    <row r="76" spans="1:9" x14ac:dyDescent="0.25">
      <c r="B76" s="3"/>
    </row>
    <row r="77" spans="1:9" x14ac:dyDescent="0.25">
      <c r="A77" t="s">
        <v>33</v>
      </c>
      <c r="B77" s="4">
        <v>45237</v>
      </c>
      <c r="C77" t="s">
        <v>140</v>
      </c>
      <c r="D77">
        <v>150.07</v>
      </c>
      <c r="E77">
        <v>5515.06</v>
      </c>
      <c r="F77" t="s">
        <v>33</v>
      </c>
      <c r="G77">
        <f t="shared" si="3"/>
        <v>150.07</v>
      </c>
      <c r="H77">
        <f>SUMIF($F$2:$F$552,A77,$G$2:$G$552)</f>
        <v>2452.5199999999995</v>
      </c>
      <c r="I77" t="s">
        <v>475</v>
      </c>
    </row>
    <row r="78" spans="1:9" x14ac:dyDescent="0.25">
      <c r="A78" t="s">
        <v>24</v>
      </c>
      <c r="B78" s="4">
        <v>45239</v>
      </c>
      <c r="C78" t="s">
        <v>141</v>
      </c>
      <c r="D78">
        <v>100.09</v>
      </c>
      <c r="E78">
        <v>5615.15</v>
      </c>
      <c r="F78" t="s">
        <v>24</v>
      </c>
      <c r="G78">
        <f t="shared" si="3"/>
        <v>100.09</v>
      </c>
      <c r="H78">
        <f>SUMIF($F$2:$F$552,A78,$G$2:$G$552)</f>
        <v>4003.3300000000022</v>
      </c>
      <c r="I78" t="s">
        <v>475</v>
      </c>
    </row>
    <row r="79" spans="1:9" x14ac:dyDescent="0.25">
      <c r="A79" t="s">
        <v>68</v>
      </c>
      <c r="B79" s="4">
        <v>45240</v>
      </c>
      <c r="C79" t="s">
        <v>142</v>
      </c>
      <c r="D79">
        <v>100.13</v>
      </c>
      <c r="E79">
        <v>5715.28</v>
      </c>
      <c r="F79" t="s">
        <v>68</v>
      </c>
      <c r="G79">
        <f t="shared" si="3"/>
        <v>100.13</v>
      </c>
      <c r="H79">
        <f>SUMIF($F$2:$F$552,A79,$G$2:$G$552)</f>
        <v>3804.9400000000028</v>
      </c>
      <c r="I79" t="s">
        <v>475</v>
      </c>
    </row>
    <row r="80" spans="1:9" x14ac:dyDescent="0.25">
      <c r="A80" t="s">
        <v>5</v>
      </c>
      <c r="B80" s="4">
        <v>45246</v>
      </c>
      <c r="C80" t="s">
        <v>65</v>
      </c>
      <c r="D80">
        <v>50.02</v>
      </c>
      <c r="E80">
        <v>5765.3</v>
      </c>
      <c r="F80" t="s">
        <v>5</v>
      </c>
      <c r="G80">
        <f t="shared" si="3"/>
        <v>50.02</v>
      </c>
      <c r="H80">
        <f>SUMIF($F$2:$F$552,A80,$G$2:$G$552)</f>
        <v>2700.7599999999998</v>
      </c>
      <c r="I80" t="s">
        <v>475</v>
      </c>
    </row>
    <row r="81" spans="1:9" x14ac:dyDescent="0.25">
      <c r="B81" s="3"/>
    </row>
    <row r="82" spans="1:9" x14ac:dyDescent="0.25">
      <c r="A82" t="s">
        <v>28</v>
      </c>
      <c r="B82" s="4">
        <v>45266</v>
      </c>
      <c r="C82" t="s">
        <v>30</v>
      </c>
      <c r="D82">
        <v>100</v>
      </c>
      <c r="E82">
        <v>5865.3</v>
      </c>
      <c r="F82" t="s">
        <v>28</v>
      </c>
      <c r="G82">
        <f>VALUE(D82)</f>
        <v>100</v>
      </c>
      <c r="H82">
        <f>SUMIF($F$2:$F$552,A82,$G$2:$G$552)</f>
        <v>2356.04</v>
      </c>
      <c r="I82" t="s">
        <v>475</v>
      </c>
    </row>
    <row r="83" spans="1:9" x14ac:dyDescent="0.25">
      <c r="A83" t="s">
        <v>24</v>
      </c>
      <c r="B83" s="4">
        <v>45267</v>
      </c>
      <c r="C83" t="s">
        <v>143</v>
      </c>
      <c r="D83">
        <v>100.09</v>
      </c>
      <c r="E83">
        <v>5965.39</v>
      </c>
      <c r="F83" t="s">
        <v>24</v>
      </c>
      <c r="G83">
        <f>VALUE(D83)</f>
        <v>100.09</v>
      </c>
      <c r="H83">
        <f>SUMIF($F$2:$F$552,A83,$G$2:$G$552)</f>
        <v>4003.3300000000022</v>
      </c>
      <c r="I83" t="s">
        <v>475</v>
      </c>
    </row>
    <row r="84" spans="1:9" x14ac:dyDescent="0.25">
      <c r="A84" t="s">
        <v>33</v>
      </c>
      <c r="B84" s="4">
        <v>45267</v>
      </c>
      <c r="C84" t="s">
        <v>144</v>
      </c>
      <c r="D84">
        <v>50.07</v>
      </c>
      <c r="E84">
        <v>6015.46</v>
      </c>
      <c r="F84" t="s">
        <v>33</v>
      </c>
      <c r="G84">
        <f t="shared" ref="G84:G89" si="4">VALUE(D84)</f>
        <v>50.07</v>
      </c>
      <c r="H84">
        <f>SUMIF($F$2:$F$552,A84,$G$2:$G$552)</f>
        <v>2452.5199999999995</v>
      </c>
      <c r="I84" t="s">
        <v>475</v>
      </c>
    </row>
    <row r="85" spans="1:9" x14ac:dyDescent="0.25">
      <c r="A85" t="s">
        <v>68</v>
      </c>
      <c r="B85" s="4">
        <v>45268</v>
      </c>
      <c r="C85" t="s">
        <v>145</v>
      </c>
      <c r="D85">
        <v>100.13</v>
      </c>
      <c r="E85">
        <v>6115.59</v>
      </c>
      <c r="F85" t="s">
        <v>68</v>
      </c>
      <c r="G85">
        <f t="shared" si="4"/>
        <v>100.13</v>
      </c>
      <c r="H85">
        <f>SUMIF($F$2:$F$552,A85,$G$2:$G$552)</f>
        <v>3804.9400000000028</v>
      </c>
      <c r="I85" t="s">
        <v>475</v>
      </c>
    </row>
    <row r="86" spans="1:9" x14ac:dyDescent="0.25">
      <c r="A86" t="s">
        <v>42</v>
      </c>
      <c r="B86" s="4">
        <v>45271</v>
      </c>
      <c r="C86" t="s">
        <v>146</v>
      </c>
      <c r="D86">
        <v>150</v>
      </c>
      <c r="E86">
        <v>6265.59</v>
      </c>
      <c r="F86" t="s">
        <v>42</v>
      </c>
      <c r="G86">
        <f t="shared" si="4"/>
        <v>150</v>
      </c>
      <c r="H86">
        <f>SUMIF($F$2:$F$552,A86,$G$2:$G$552)</f>
        <v>3400.06</v>
      </c>
      <c r="I86" t="s">
        <v>475</v>
      </c>
    </row>
    <row r="87" spans="1:9" x14ac:dyDescent="0.25">
      <c r="A87" t="s">
        <v>5</v>
      </c>
      <c r="B87" s="4">
        <v>45278</v>
      </c>
      <c r="C87" t="s">
        <v>65</v>
      </c>
      <c r="D87">
        <v>50.02</v>
      </c>
      <c r="E87">
        <v>6315.61</v>
      </c>
      <c r="F87" t="s">
        <v>5</v>
      </c>
      <c r="G87">
        <f t="shared" si="4"/>
        <v>50.02</v>
      </c>
      <c r="H87">
        <f>SUMIF($F$2:$F$552,A87,$G$2:$G$552)</f>
        <v>2700.7599999999998</v>
      </c>
      <c r="I87" t="s">
        <v>475</v>
      </c>
    </row>
    <row r="88" spans="1:9" x14ac:dyDescent="0.25">
      <c r="A88" t="s">
        <v>14</v>
      </c>
      <c r="B88" s="4">
        <v>45281</v>
      </c>
      <c r="C88" t="s">
        <v>147</v>
      </c>
      <c r="D88">
        <v>100</v>
      </c>
      <c r="E88">
        <v>6415.61</v>
      </c>
      <c r="F88" t="s">
        <v>14</v>
      </c>
      <c r="G88">
        <f t="shared" si="4"/>
        <v>100</v>
      </c>
      <c r="H88">
        <f>SUMIF($F$2:$F$552,A88,$G$2:$G$552)</f>
        <v>2821.3799999999992</v>
      </c>
      <c r="I88" t="s">
        <v>475</v>
      </c>
    </row>
    <row r="89" spans="1:9" x14ac:dyDescent="0.25">
      <c r="A89" t="s">
        <v>24</v>
      </c>
      <c r="B89" s="4">
        <v>45289</v>
      </c>
      <c r="C89" t="s">
        <v>148</v>
      </c>
      <c r="D89">
        <v>100.09</v>
      </c>
      <c r="E89">
        <v>6515.7</v>
      </c>
      <c r="F89" t="s">
        <v>24</v>
      </c>
      <c r="G89">
        <f t="shared" si="4"/>
        <v>100.09</v>
      </c>
      <c r="H89">
        <f>SUMIF($F$2:$F$552,A89,$G$2:$G$552)</f>
        <v>4003.3300000000022</v>
      </c>
      <c r="I89" t="s">
        <v>475</v>
      </c>
    </row>
    <row r="90" spans="1:9" x14ac:dyDescent="0.25">
      <c r="B90" s="3"/>
    </row>
    <row r="91" spans="1:9" x14ac:dyDescent="0.25">
      <c r="B91" s="3"/>
    </row>
    <row r="92" spans="1:9" x14ac:dyDescent="0.25">
      <c r="A92" t="s">
        <v>68</v>
      </c>
      <c r="B92" s="4">
        <v>45296</v>
      </c>
      <c r="C92" t="s">
        <v>149</v>
      </c>
      <c r="D92">
        <v>100.13</v>
      </c>
      <c r="E92">
        <v>6615.83</v>
      </c>
      <c r="F92" t="s">
        <v>68</v>
      </c>
      <c r="G92">
        <f t="shared" ref="G92:G98" si="5">VALUE(D92)</f>
        <v>100.13</v>
      </c>
      <c r="H92">
        <f>SUMIF($F$2:$F$552,A92,$G$2:$G$552)</f>
        <v>3804.9400000000028</v>
      </c>
      <c r="I92" t="s">
        <v>475</v>
      </c>
    </row>
    <row r="93" spans="1:9" x14ac:dyDescent="0.25">
      <c r="A93" t="s">
        <v>42</v>
      </c>
      <c r="B93" s="4">
        <v>45301</v>
      </c>
      <c r="C93" t="s">
        <v>150</v>
      </c>
      <c r="D93">
        <v>150</v>
      </c>
      <c r="E93">
        <v>6765.83</v>
      </c>
      <c r="F93" t="s">
        <v>42</v>
      </c>
      <c r="G93">
        <f t="shared" si="5"/>
        <v>150</v>
      </c>
      <c r="H93">
        <f>SUMIF($F$2:$F$552,A93,$G$2:$G$552)</f>
        <v>3400.06</v>
      </c>
      <c r="I93" t="s">
        <v>475</v>
      </c>
    </row>
    <row r="94" spans="1:9" x14ac:dyDescent="0.25">
      <c r="A94" t="s">
        <v>151</v>
      </c>
      <c r="B94" s="4">
        <v>45307</v>
      </c>
      <c r="C94" t="s">
        <v>152</v>
      </c>
      <c r="D94">
        <v>150</v>
      </c>
      <c r="E94">
        <v>6915.83</v>
      </c>
      <c r="F94" t="s">
        <v>151</v>
      </c>
      <c r="G94">
        <f t="shared" si="5"/>
        <v>150</v>
      </c>
      <c r="H94">
        <f>SUMIF($F$2:$F$552,A94,$G$2:$G$552)</f>
        <v>350</v>
      </c>
      <c r="I94" t="s">
        <v>475</v>
      </c>
    </row>
    <row r="95" spans="1:9" x14ac:dyDescent="0.25">
      <c r="A95" t="s">
        <v>5</v>
      </c>
      <c r="B95" s="4">
        <v>45307</v>
      </c>
      <c r="C95" t="s">
        <v>65</v>
      </c>
      <c r="D95">
        <v>50.02</v>
      </c>
      <c r="E95">
        <v>6965.85</v>
      </c>
      <c r="F95" t="s">
        <v>5</v>
      </c>
      <c r="G95">
        <f t="shared" si="5"/>
        <v>50.02</v>
      </c>
      <c r="H95">
        <f>SUMIF($F$2:$F$552,A95,$G$2:$G$552)</f>
        <v>2700.7599999999998</v>
      </c>
      <c r="I95" t="s">
        <v>475</v>
      </c>
    </row>
    <row r="96" spans="1:9" x14ac:dyDescent="0.25">
      <c r="A96" t="s">
        <v>33</v>
      </c>
      <c r="B96" s="4">
        <v>45313</v>
      </c>
      <c r="C96" t="s">
        <v>153</v>
      </c>
      <c r="D96">
        <v>50.07</v>
      </c>
      <c r="E96">
        <v>7015.92</v>
      </c>
      <c r="F96" t="s">
        <v>33</v>
      </c>
      <c r="G96">
        <f t="shared" si="5"/>
        <v>50.07</v>
      </c>
      <c r="H96">
        <f>SUMIF($F$2:$F$552,A96,$G$2:$G$552)</f>
        <v>2452.5199999999995</v>
      </c>
      <c r="I96" t="s">
        <v>475</v>
      </c>
    </row>
    <row r="97" spans="1:9" x14ac:dyDescent="0.25">
      <c r="B97" s="4">
        <v>45321</v>
      </c>
      <c r="C97" t="s">
        <v>154</v>
      </c>
      <c r="D97">
        <v>-269.92</v>
      </c>
      <c r="E97">
        <v>6746</v>
      </c>
      <c r="G97">
        <f t="shared" si="5"/>
        <v>-269.92</v>
      </c>
      <c r="H97">
        <f>SUMIF($F$2:$F$552,A97,$G$2:$G$552)</f>
        <v>0</v>
      </c>
      <c r="I97" t="s">
        <v>481</v>
      </c>
    </row>
    <row r="98" spans="1:9" x14ac:dyDescent="0.25">
      <c r="A98" t="s">
        <v>14</v>
      </c>
      <c r="B98" s="4">
        <v>45322</v>
      </c>
      <c r="C98" t="s">
        <v>155</v>
      </c>
      <c r="D98">
        <v>100.06</v>
      </c>
      <c r="E98">
        <v>6846.06</v>
      </c>
      <c r="F98" t="s">
        <v>14</v>
      </c>
      <c r="G98">
        <f t="shared" si="5"/>
        <v>100.06</v>
      </c>
      <c r="H98">
        <f>SUMIF($F$2:$F$552,A98,$G$2:$G$552)</f>
        <v>2821.3799999999992</v>
      </c>
      <c r="I98" t="s">
        <v>475</v>
      </c>
    </row>
    <row r="99" spans="1:9" x14ac:dyDescent="0.25">
      <c r="B99" s="3"/>
    </row>
    <row r="100" spans="1:9" x14ac:dyDescent="0.25">
      <c r="A100" t="s">
        <v>24</v>
      </c>
      <c r="B100" s="4">
        <v>45324</v>
      </c>
      <c r="C100" t="s">
        <v>156</v>
      </c>
      <c r="D100">
        <v>100.09</v>
      </c>
      <c r="E100">
        <v>6946.15</v>
      </c>
      <c r="F100" t="s">
        <v>24</v>
      </c>
      <c r="G100">
        <f t="shared" ref="G100:G107" si="6">VALUE(D100)</f>
        <v>100.09</v>
      </c>
      <c r="H100">
        <f>SUMIF($F$2:$F$552,A100,$G$2:$G$552)</f>
        <v>4003.3300000000022</v>
      </c>
      <c r="I100" t="s">
        <v>475</v>
      </c>
    </row>
    <row r="101" spans="1:9" x14ac:dyDescent="0.25">
      <c r="A101" t="s">
        <v>28</v>
      </c>
      <c r="B101" s="4">
        <v>45328</v>
      </c>
      <c r="C101" t="s">
        <v>30</v>
      </c>
      <c r="D101">
        <v>200</v>
      </c>
      <c r="E101">
        <v>7146.15</v>
      </c>
      <c r="F101" t="s">
        <v>28</v>
      </c>
      <c r="G101">
        <f t="shared" si="6"/>
        <v>200</v>
      </c>
      <c r="H101">
        <f>SUMIF($F$2:$F$552,A101,$G$2:$G$552)</f>
        <v>2356.04</v>
      </c>
      <c r="I101" t="s">
        <v>475</v>
      </c>
    </row>
    <row r="102" spans="1:9" x14ac:dyDescent="0.25">
      <c r="A102" t="s">
        <v>42</v>
      </c>
      <c r="B102" s="4">
        <v>45334</v>
      </c>
      <c r="C102" t="s">
        <v>157</v>
      </c>
      <c r="D102">
        <v>150</v>
      </c>
      <c r="E102">
        <v>7296.15</v>
      </c>
      <c r="F102" t="s">
        <v>42</v>
      </c>
      <c r="G102">
        <f t="shared" si="6"/>
        <v>150</v>
      </c>
      <c r="H102">
        <f>SUMIF($F$2:$F$552,A102,$G$2:$G$552)</f>
        <v>3400.06</v>
      </c>
      <c r="I102" t="s">
        <v>475</v>
      </c>
    </row>
    <row r="103" spans="1:9" x14ac:dyDescent="0.25">
      <c r="A103" t="s">
        <v>68</v>
      </c>
      <c r="B103" s="4">
        <v>45334</v>
      </c>
      <c r="C103" t="s">
        <v>158</v>
      </c>
      <c r="D103">
        <v>100.13</v>
      </c>
      <c r="E103">
        <v>7396.28</v>
      </c>
      <c r="F103" t="s">
        <v>68</v>
      </c>
      <c r="G103">
        <f t="shared" si="6"/>
        <v>100.13</v>
      </c>
      <c r="H103">
        <f>SUMIF($F$2:$F$552,A103,$G$2:$G$552)</f>
        <v>3804.9400000000028</v>
      </c>
      <c r="I103" t="s">
        <v>475</v>
      </c>
    </row>
    <row r="104" spans="1:9" x14ac:dyDescent="0.25">
      <c r="A104" t="s">
        <v>5</v>
      </c>
      <c r="B104" s="4">
        <v>45338</v>
      </c>
      <c r="C104" t="s">
        <v>65</v>
      </c>
      <c r="D104">
        <v>50.02</v>
      </c>
      <c r="E104">
        <v>7446.3</v>
      </c>
      <c r="F104" t="s">
        <v>5</v>
      </c>
      <c r="G104">
        <f t="shared" si="6"/>
        <v>50.02</v>
      </c>
      <c r="H104">
        <f>SUMIF($F$2:$F$552,A104,$G$2:$G$552)</f>
        <v>2700.7599999999998</v>
      </c>
      <c r="I104" t="s">
        <v>475</v>
      </c>
    </row>
    <row r="105" spans="1:9" x14ac:dyDescent="0.25">
      <c r="A105" t="s">
        <v>73</v>
      </c>
      <c r="B105" s="4">
        <v>45343</v>
      </c>
      <c r="C105" t="s">
        <v>159</v>
      </c>
      <c r="D105">
        <v>100.04</v>
      </c>
      <c r="E105">
        <v>7546.34</v>
      </c>
      <c r="F105" t="s">
        <v>73</v>
      </c>
      <c r="G105">
        <f t="shared" si="6"/>
        <v>100.04</v>
      </c>
      <c r="H105">
        <f>SUMIF($F$2:$F$552,A105,$G$2:$G$552)</f>
        <v>2400.8399999999997</v>
      </c>
      <c r="I105" t="s">
        <v>475</v>
      </c>
    </row>
    <row r="106" spans="1:9" x14ac:dyDescent="0.25">
      <c r="A106" t="s">
        <v>33</v>
      </c>
      <c r="B106" s="4">
        <v>45348</v>
      </c>
      <c r="C106" t="s">
        <v>160</v>
      </c>
      <c r="D106">
        <v>50.07</v>
      </c>
      <c r="E106">
        <v>7596.41</v>
      </c>
      <c r="F106" t="s">
        <v>33</v>
      </c>
      <c r="G106">
        <f t="shared" si="6"/>
        <v>50.07</v>
      </c>
      <c r="H106">
        <f>SUMIF($F$2:$F$552,A106,$G$2:$G$552)</f>
        <v>2452.5199999999995</v>
      </c>
      <c r="I106" t="s">
        <v>475</v>
      </c>
    </row>
    <row r="107" spans="1:9" x14ac:dyDescent="0.25">
      <c r="A107" t="s">
        <v>24</v>
      </c>
      <c r="B107" s="4">
        <v>45351</v>
      </c>
      <c r="C107" t="s">
        <v>161</v>
      </c>
      <c r="D107">
        <v>100.09</v>
      </c>
      <c r="E107">
        <v>7696.5</v>
      </c>
      <c r="F107" t="s">
        <v>24</v>
      </c>
      <c r="G107">
        <f t="shared" si="6"/>
        <v>100.09</v>
      </c>
      <c r="H107">
        <f>SUMIF($F$2:$F$552,A107,$G$2:$G$552)</f>
        <v>4003.3300000000022</v>
      </c>
      <c r="I107" t="s">
        <v>475</v>
      </c>
    </row>
    <row r="110" spans="1:9" x14ac:dyDescent="0.25">
      <c r="B110" s="4">
        <v>45352</v>
      </c>
      <c r="C110" t="s">
        <v>162</v>
      </c>
    </row>
    <row r="111" spans="1:9" x14ac:dyDescent="0.25">
      <c r="A111" t="s">
        <v>68</v>
      </c>
      <c r="B111" s="4">
        <v>45359</v>
      </c>
      <c r="C111" t="s">
        <v>163</v>
      </c>
      <c r="D111">
        <v>100.13</v>
      </c>
      <c r="E111">
        <v>7796.63</v>
      </c>
      <c r="F111" t="s">
        <v>68</v>
      </c>
      <c r="G111">
        <f>VALUE(D111)</f>
        <v>100.13</v>
      </c>
      <c r="H111">
        <f>SUMIF($F$2:$F$552,A111,$G$2:$G$552)</f>
        <v>3804.9400000000028</v>
      </c>
      <c r="I111" t="s">
        <v>475</v>
      </c>
    </row>
    <row r="112" spans="1:9" x14ac:dyDescent="0.25">
      <c r="A112" t="s">
        <v>42</v>
      </c>
      <c r="B112" s="4">
        <v>45362</v>
      </c>
      <c r="C112" t="s">
        <v>164</v>
      </c>
      <c r="D112">
        <v>150</v>
      </c>
      <c r="E112">
        <v>7946.63</v>
      </c>
      <c r="F112" t="s">
        <v>42</v>
      </c>
      <c r="G112">
        <f>VALUE(D112)</f>
        <v>150</v>
      </c>
      <c r="H112">
        <f>SUMIF($F$2:$F$552,A112,$G$2:$G$552)</f>
        <v>3400.06</v>
      </c>
      <c r="I112" t="s">
        <v>475</v>
      </c>
    </row>
    <row r="113" spans="1:9" x14ac:dyDescent="0.25">
      <c r="A113" t="s">
        <v>5</v>
      </c>
      <c r="B113" s="4">
        <v>45369</v>
      </c>
      <c r="C113" t="s">
        <v>65</v>
      </c>
      <c r="D113">
        <v>50.02</v>
      </c>
      <c r="E113">
        <v>7996.65</v>
      </c>
      <c r="F113" t="s">
        <v>5</v>
      </c>
      <c r="G113">
        <f>VALUE(D113)</f>
        <v>50.02</v>
      </c>
      <c r="H113">
        <f>SUMIF($F$2:$F$552,A113,$G$2:$G$552)</f>
        <v>2700.7599999999998</v>
      </c>
      <c r="I113" t="s">
        <v>475</v>
      </c>
    </row>
    <row r="116" spans="1:9" x14ac:dyDescent="0.25">
      <c r="A116" t="s">
        <v>33</v>
      </c>
      <c r="B116" s="4">
        <v>45383</v>
      </c>
      <c r="C116" t="s">
        <v>165</v>
      </c>
      <c r="D116">
        <v>100.07</v>
      </c>
      <c r="E116">
        <v>8096.72</v>
      </c>
      <c r="F116" t="s">
        <v>33</v>
      </c>
      <c r="G116">
        <f t="shared" ref="G116:G121" si="7">VALUE(D116)</f>
        <v>100.07</v>
      </c>
      <c r="H116">
        <f>SUMIF($F$2:$F$552,A116,$G$2:$G$552)</f>
        <v>2452.5199999999995</v>
      </c>
      <c r="I116" t="s">
        <v>475</v>
      </c>
    </row>
    <row r="117" spans="1:9" x14ac:dyDescent="0.25">
      <c r="A117" t="s">
        <v>68</v>
      </c>
      <c r="B117" s="4">
        <v>45390</v>
      </c>
      <c r="C117" t="s">
        <v>166</v>
      </c>
      <c r="D117">
        <v>100.13</v>
      </c>
      <c r="E117">
        <v>8196.85</v>
      </c>
      <c r="F117" t="s">
        <v>68</v>
      </c>
      <c r="G117">
        <f t="shared" si="7"/>
        <v>100.13</v>
      </c>
      <c r="H117">
        <f>SUMIF($F$2:$F$552,A117,$G$2:$G$552)</f>
        <v>3804.9400000000028</v>
      </c>
      <c r="I117" t="s">
        <v>475</v>
      </c>
    </row>
    <row r="118" spans="1:9" x14ac:dyDescent="0.25">
      <c r="A118" t="s">
        <v>24</v>
      </c>
      <c r="B118" s="4">
        <v>45390</v>
      </c>
      <c r="C118" t="s">
        <v>167</v>
      </c>
      <c r="D118">
        <v>100.09</v>
      </c>
      <c r="E118">
        <v>8296.94</v>
      </c>
      <c r="F118" t="s">
        <v>24</v>
      </c>
      <c r="G118">
        <f t="shared" si="7"/>
        <v>100.09</v>
      </c>
      <c r="H118">
        <f>SUMIF($F$2:$F$552,A118,$G$2:$G$552)</f>
        <v>4003.3300000000022</v>
      </c>
      <c r="I118" t="s">
        <v>475</v>
      </c>
    </row>
    <row r="119" spans="1:9" x14ac:dyDescent="0.25">
      <c r="A119" t="s">
        <v>28</v>
      </c>
      <c r="B119" s="4">
        <v>45390</v>
      </c>
      <c r="C119" t="s">
        <v>30</v>
      </c>
      <c r="D119">
        <v>100</v>
      </c>
      <c r="E119">
        <v>8396.94</v>
      </c>
      <c r="F119" t="s">
        <v>28</v>
      </c>
      <c r="G119">
        <f t="shared" si="7"/>
        <v>100</v>
      </c>
      <c r="H119">
        <f>SUMIF($F$2:$F$552,A119,$G$2:$G$552)</f>
        <v>2356.04</v>
      </c>
      <c r="I119" t="s">
        <v>475</v>
      </c>
    </row>
    <row r="120" spans="1:9" x14ac:dyDescent="0.25">
      <c r="A120" t="s">
        <v>5</v>
      </c>
      <c r="B120" s="4">
        <v>45398</v>
      </c>
      <c r="C120" t="s">
        <v>65</v>
      </c>
      <c r="D120">
        <v>50.02</v>
      </c>
      <c r="E120">
        <v>8446.9599999999991</v>
      </c>
      <c r="F120" t="s">
        <v>5</v>
      </c>
      <c r="G120">
        <f t="shared" si="7"/>
        <v>50.02</v>
      </c>
      <c r="H120">
        <f>SUMIF($F$2:$F$552,A120,$G$2:$G$552)</f>
        <v>2700.7599999999998</v>
      </c>
      <c r="I120" t="s">
        <v>475</v>
      </c>
    </row>
    <row r="121" spans="1:9" x14ac:dyDescent="0.25">
      <c r="A121" t="s">
        <v>33</v>
      </c>
      <c r="B121" s="4">
        <v>45412</v>
      </c>
      <c r="C121" t="s">
        <v>168</v>
      </c>
      <c r="D121">
        <v>50.07</v>
      </c>
      <c r="E121">
        <v>8497.0300000000007</v>
      </c>
      <c r="F121" t="s">
        <v>33</v>
      </c>
      <c r="G121">
        <f t="shared" si="7"/>
        <v>50.07</v>
      </c>
      <c r="H121">
        <f>SUMIF($F$2:$F$552,A121,$G$2:$G$552)</f>
        <v>2452.5199999999995</v>
      </c>
      <c r="I121" t="s">
        <v>475</v>
      </c>
    </row>
    <row r="124" spans="1:9" x14ac:dyDescent="0.25">
      <c r="A124" t="s">
        <v>24</v>
      </c>
      <c r="B124" s="4">
        <v>45414</v>
      </c>
      <c r="C124" t="s">
        <v>169</v>
      </c>
      <c r="D124">
        <v>100.09</v>
      </c>
      <c r="E124">
        <v>8597.1200000000008</v>
      </c>
      <c r="F124" t="s">
        <v>24</v>
      </c>
      <c r="G124">
        <f t="shared" ref="G124:G129" si="8">VALUE(D124)</f>
        <v>100.09</v>
      </c>
      <c r="H124">
        <f>SUMIF($F$2:$F$552,A124,$G$2:$G$552)</f>
        <v>4003.3300000000022</v>
      </c>
      <c r="I124" t="s">
        <v>475</v>
      </c>
    </row>
    <row r="125" spans="1:9" x14ac:dyDescent="0.25">
      <c r="A125" t="s">
        <v>33</v>
      </c>
      <c r="B125" s="4">
        <v>45418</v>
      </c>
      <c r="C125" t="s">
        <v>170</v>
      </c>
      <c r="D125">
        <v>50.07</v>
      </c>
      <c r="E125">
        <v>8647.19</v>
      </c>
      <c r="F125" t="s">
        <v>33</v>
      </c>
      <c r="G125">
        <f t="shared" si="8"/>
        <v>50.07</v>
      </c>
      <c r="H125">
        <f>SUMIF($F$2:$F$552,A125,$G$2:$G$552)</f>
        <v>2452.5199999999995</v>
      </c>
      <c r="I125" t="s">
        <v>475</v>
      </c>
    </row>
    <row r="126" spans="1:9" x14ac:dyDescent="0.25">
      <c r="A126" t="s">
        <v>14</v>
      </c>
      <c r="B126" s="4">
        <v>45421</v>
      </c>
      <c r="C126" t="s">
        <v>171</v>
      </c>
      <c r="D126">
        <v>100</v>
      </c>
      <c r="E126">
        <v>8747.19</v>
      </c>
      <c r="F126" t="s">
        <v>14</v>
      </c>
      <c r="G126">
        <f t="shared" si="8"/>
        <v>100</v>
      </c>
      <c r="H126">
        <f>SUMIF($F$2:$F$552,A126,$G$2:$G$552)</f>
        <v>2821.3799999999992</v>
      </c>
      <c r="I126" t="s">
        <v>475</v>
      </c>
    </row>
    <row r="127" spans="1:9" x14ac:dyDescent="0.25">
      <c r="A127" t="s">
        <v>42</v>
      </c>
      <c r="B127" s="4">
        <v>45422</v>
      </c>
      <c r="C127" t="s">
        <v>172</v>
      </c>
      <c r="D127">
        <v>150</v>
      </c>
      <c r="E127">
        <v>8897.19</v>
      </c>
      <c r="F127" t="s">
        <v>42</v>
      </c>
      <c r="G127">
        <f t="shared" si="8"/>
        <v>150</v>
      </c>
      <c r="H127">
        <f>SUMIF($F$2:$F$552,A127,$G$2:$G$552)</f>
        <v>3400.06</v>
      </c>
      <c r="I127" t="s">
        <v>475</v>
      </c>
    </row>
    <row r="128" spans="1:9" x14ac:dyDescent="0.25">
      <c r="A128" t="s">
        <v>68</v>
      </c>
      <c r="B128" s="4">
        <v>45422</v>
      </c>
      <c r="C128" t="s">
        <v>173</v>
      </c>
      <c r="D128">
        <v>100.13</v>
      </c>
      <c r="E128">
        <v>8997.32</v>
      </c>
      <c r="F128" t="s">
        <v>68</v>
      </c>
      <c r="G128">
        <f t="shared" si="8"/>
        <v>100.13</v>
      </c>
      <c r="H128">
        <f>SUMIF($F$2:$F$552,A128,$G$2:$G$552)</f>
        <v>3804.9400000000028</v>
      </c>
      <c r="I128" t="s">
        <v>475</v>
      </c>
    </row>
    <row r="129" spans="1:9" x14ac:dyDescent="0.25">
      <c r="A129" t="s">
        <v>14</v>
      </c>
      <c r="B129" s="4">
        <v>45422</v>
      </c>
      <c r="C129" t="s">
        <v>174</v>
      </c>
      <c r="D129">
        <v>50</v>
      </c>
      <c r="E129">
        <v>9047.32</v>
      </c>
      <c r="F129" t="s">
        <v>14</v>
      </c>
      <c r="G129">
        <f t="shared" si="8"/>
        <v>50</v>
      </c>
      <c r="H129">
        <f>SUMIF($F$2:$F$552,A129,$G$2:$G$552)</f>
        <v>2821.3799999999992</v>
      </c>
      <c r="I129" t="s">
        <v>475</v>
      </c>
    </row>
    <row r="130" spans="1:9" x14ac:dyDescent="0.25">
      <c r="A130" t="s">
        <v>73</v>
      </c>
      <c r="B130" s="4">
        <v>45425</v>
      </c>
      <c r="C130" t="s">
        <v>175</v>
      </c>
      <c r="D130">
        <v>100</v>
      </c>
      <c r="E130">
        <v>9147.32</v>
      </c>
      <c r="F130" t="s">
        <v>73</v>
      </c>
      <c r="G130">
        <f>VALUE(D130)</f>
        <v>100</v>
      </c>
      <c r="H130">
        <f>SUMIF($F$2:$F$552,A130,$G$2:$G$552)</f>
        <v>2400.8399999999997</v>
      </c>
      <c r="I130" t="s">
        <v>475</v>
      </c>
    </row>
    <row r="131" spans="1:9" x14ac:dyDescent="0.25">
      <c r="A131" t="s">
        <v>5</v>
      </c>
      <c r="B131" s="4">
        <v>45428</v>
      </c>
      <c r="C131" t="s">
        <v>65</v>
      </c>
      <c r="D131">
        <v>50.02</v>
      </c>
      <c r="E131">
        <v>9197.34</v>
      </c>
      <c r="F131" t="s">
        <v>5</v>
      </c>
      <c r="G131">
        <f>VALUE(D131)</f>
        <v>50.02</v>
      </c>
      <c r="H131">
        <f>SUMIF($F$2:$F$552,A131,$G$2:$G$552)</f>
        <v>2700.7599999999998</v>
      </c>
      <c r="I131" t="s">
        <v>475</v>
      </c>
    </row>
    <row r="132" spans="1:9" x14ac:dyDescent="0.25">
      <c r="A132" t="s">
        <v>151</v>
      </c>
      <c r="B132" s="4">
        <v>45432</v>
      </c>
      <c r="C132" t="s">
        <v>176</v>
      </c>
      <c r="D132">
        <v>200</v>
      </c>
      <c r="E132">
        <v>9397.34</v>
      </c>
      <c r="F132" t="s">
        <v>151</v>
      </c>
      <c r="G132">
        <f>VALUE(D132)</f>
        <v>200</v>
      </c>
      <c r="H132">
        <f>SUMIF($F$2:$F$552,A132,$G$2:$G$552)</f>
        <v>350</v>
      </c>
      <c r="I132" t="s">
        <v>475</v>
      </c>
    </row>
    <row r="133" spans="1:9" x14ac:dyDescent="0.25">
      <c r="A133" t="s">
        <v>33</v>
      </c>
      <c r="B133" s="4">
        <v>45432</v>
      </c>
      <c r="C133" t="s">
        <v>177</v>
      </c>
      <c r="D133">
        <v>50.07</v>
      </c>
      <c r="E133">
        <v>9447.41</v>
      </c>
      <c r="F133" t="s">
        <v>33</v>
      </c>
      <c r="G133">
        <f>VALUE(D133)</f>
        <v>50.07</v>
      </c>
      <c r="H133">
        <f>SUMIF($F$2:$F$552,A133,$G$2:$G$552)</f>
        <v>2452.5199999999995</v>
      </c>
      <c r="I133" t="s">
        <v>475</v>
      </c>
    </row>
    <row r="134" spans="1:9" x14ac:dyDescent="0.25">
      <c r="A134" t="s">
        <v>24</v>
      </c>
      <c r="B134" s="4">
        <v>45440</v>
      </c>
      <c r="C134" t="s">
        <v>178</v>
      </c>
      <c r="D134">
        <v>100.09</v>
      </c>
      <c r="E134">
        <v>9547.5</v>
      </c>
      <c r="F134" t="s">
        <v>24</v>
      </c>
      <c r="G134">
        <f>VALUE(D134)</f>
        <v>100.09</v>
      </c>
      <c r="H134">
        <f>SUMIF($F$2:$F$552,A134,$G$2:$G$552)</f>
        <v>4003.3300000000022</v>
      </c>
      <c r="I134" t="s">
        <v>475</v>
      </c>
    </row>
    <row r="135" spans="1:9" x14ac:dyDescent="0.25">
      <c r="B135" s="3"/>
    </row>
    <row r="136" spans="1:9" x14ac:dyDescent="0.25">
      <c r="A136" t="s">
        <v>68</v>
      </c>
      <c r="B136" s="4">
        <v>45450</v>
      </c>
      <c r="C136" t="s">
        <v>179</v>
      </c>
      <c r="D136">
        <v>100.13</v>
      </c>
      <c r="E136">
        <v>9647.6299999999992</v>
      </c>
      <c r="F136" t="s">
        <v>68</v>
      </c>
      <c r="G136">
        <f>VALUE(D136)</f>
        <v>100.13</v>
      </c>
      <c r="H136">
        <f>SUMIF($F$2:$F$552,A136,$G$2:$G$552)</f>
        <v>3804.9400000000028</v>
      </c>
      <c r="I136" t="s">
        <v>475</v>
      </c>
    </row>
    <row r="137" spans="1:9" x14ac:dyDescent="0.25">
      <c r="A137" t="s">
        <v>42</v>
      </c>
      <c r="B137" s="4">
        <v>45453</v>
      </c>
      <c r="C137" t="s">
        <v>180</v>
      </c>
      <c r="D137">
        <v>150</v>
      </c>
      <c r="E137">
        <v>9797.6299999999992</v>
      </c>
      <c r="F137" t="s">
        <v>42</v>
      </c>
      <c r="G137">
        <f>VALUE(D137)</f>
        <v>150</v>
      </c>
      <c r="H137">
        <f>SUMIF($F$2:$F$552,A137,$G$2:$G$552)</f>
        <v>3400.06</v>
      </c>
      <c r="I137" t="s">
        <v>475</v>
      </c>
    </row>
    <row r="138" spans="1:9" x14ac:dyDescent="0.25">
      <c r="A138" t="s">
        <v>73</v>
      </c>
      <c r="B138" s="4">
        <v>45460</v>
      </c>
      <c r="C138" t="s">
        <v>181</v>
      </c>
      <c r="D138">
        <v>100.04</v>
      </c>
      <c r="E138">
        <v>9897.67</v>
      </c>
      <c r="F138" t="s">
        <v>73</v>
      </c>
      <c r="G138">
        <f>VALUE(D138)</f>
        <v>100.04</v>
      </c>
      <c r="H138">
        <f>SUMIF($F$2:$F$552,A138,$G$2:$G$552)</f>
        <v>2400.8399999999997</v>
      </c>
      <c r="I138" t="s">
        <v>475</v>
      </c>
    </row>
    <row r="139" spans="1:9" x14ac:dyDescent="0.25">
      <c r="A139" t="s">
        <v>5</v>
      </c>
      <c r="B139" s="4">
        <v>45460</v>
      </c>
      <c r="C139" t="s">
        <v>65</v>
      </c>
      <c r="D139">
        <v>50.02</v>
      </c>
      <c r="E139">
        <v>9947.69</v>
      </c>
      <c r="F139" t="s">
        <v>5</v>
      </c>
      <c r="G139">
        <f>VALUE(D139)</f>
        <v>50.02</v>
      </c>
      <c r="H139">
        <f>SUMIF($F$2:$F$552,A139,$G$2:$G$552)</f>
        <v>2700.7599999999998</v>
      </c>
      <c r="I139" t="s">
        <v>475</v>
      </c>
    </row>
    <row r="140" spans="1:9" x14ac:dyDescent="0.25">
      <c r="A140" t="s">
        <v>14</v>
      </c>
      <c r="B140" s="4">
        <v>45464</v>
      </c>
      <c r="C140" t="s">
        <v>182</v>
      </c>
      <c r="D140">
        <v>100</v>
      </c>
      <c r="E140">
        <v>10047.69</v>
      </c>
      <c r="F140" t="s">
        <v>14</v>
      </c>
      <c r="G140">
        <f>VALUE(D140)</f>
        <v>100</v>
      </c>
      <c r="H140">
        <f>SUMIF($F$2:$F$552,A140,$G$2:$G$552)</f>
        <v>2821.3799999999992</v>
      </c>
      <c r="I140" t="s">
        <v>475</v>
      </c>
    </row>
    <row r="141" spans="1:9" x14ac:dyDescent="0.25">
      <c r="B141" s="3"/>
    </row>
    <row r="142" spans="1:9" x14ac:dyDescent="0.25">
      <c r="A142" t="s">
        <v>24</v>
      </c>
      <c r="B142" s="4">
        <v>45474</v>
      </c>
      <c r="C142" t="s">
        <v>183</v>
      </c>
      <c r="D142">
        <v>100</v>
      </c>
      <c r="E142">
        <v>10147.69</v>
      </c>
      <c r="F142" t="s">
        <v>24</v>
      </c>
      <c r="G142">
        <f t="shared" ref="G142:G149" si="9">VALUE(D142)</f>
        <v>100</v>
      </c>
      <c r="H142">
        <f>SUMIF($F$2:$F$552,A142,$G$2:$G$552)</f>
        <v>4003.3300000000022</v>
      </c>
      <c r="I142" t="s">
        <v>475</v>
      </c>
    </row>
    <row r="143" spans="1:9" x14ac:dyDescent="0.25">
      <c r="A143" t="s">
        <v>33</v>
      </c>
      <c r="B143" s="4">
        <v>45474</v>
      </c>
      <c r="C143" t="s">
        <v>184</v>
      </c>
      <c r="D143">
        <v>50.07</v>
      </c>
      <c r="E143">
        <v>10197.76</v>
      </c>
      <c r="F143" t="s">
        <v>33</v>
      </c>
      <c r="G143">
        <f t="shared" si="9"/>
        <v>50.07</v>
      </c>
      <c r="H143">
        <f>SUMIF($F$2:$F$552,A143,$G$2:$G$552)</f>
        <v>2452.5199999999995</v>
      </c>
      <c r="I143" t="s">
        <v>475</v>
      </c>
    </row>
    <row r="144" spans="1:9" x14ac:dyDescent="0.25">
      <c r="A144" t="s">
        <v>68</v>
      </c>
      <c r="B144" s="4">
        <v>45478</v>
      </c>
      <c r="C144" t="s">
        <v>185</v>
      </c>
      <c r="D144">
        <v>100.13</v>
      </c>
      <c r="E144">
        <v>10297.89</v>
      </c>
      <c r="F144" t="s">
        <v>68</v>
      </c>
      <c r="G144">
        <f t="shared" si="9"/>
        <v>100.13</v>
      </c>
      <c r="H144">
        <f>SUMIF($F$2:$F$552,A144,$G$2:$G$552)</f>
        <v>3804.9400000000028</v>
      </c>
      <c r="I144" t="s">
        <v>475</v>
      </c>
    </row>
    <row r="145" spans="1:11" x14ac:dyDescent="0.25">
      <c r="A145" t="s">
        <v>33</v>
      </c>
      <c r="B145" s="4">
        <v>45488</v>
      </c>
      <c r="C145" t="s">
        <v>186</v>
      </c>
      <c r="D145">
        <v>100.07</v>
      </c>
      <c r="E145">
        <v>10397.959999999999</v>
      </c>
      <c r="F145" t="s">
        <v>33</v>
      </c>
      <c r="G145">
        <f t="shared" si="9"/>
        <v>100.07</v>
      </c>
      <c r="H145">
        <f>SUMIF($F$2:$F$552,A145,$G$2:$G$552)</f>
        <v>2452.5199999999995</v>
      </c>
      <c r="I145" t="s">
        <v>475</v>
      </c>
    </row>
    <row r="146" spans="1:11" x14ac:dyDescent="0.25">
      <c r="A146" t="s">
        <v>5</v>
      </c>
      <c r="B146" s="4">
        <v>45489</v>
      </c>
      <c r="C146" t="s">
        <v>65</v>
      </c>
      <c r="D146">
        <v>50.02</v>
      </c>
      <c r="E146">
        <v>10447.98</v>
      </c>
      <c r="F146" t="s">
        <v>5</v>
      </c>
      <c r="G146">
        <f t="shared" si="9"/>
        <v>50.02</v>
      </c>
      <c r="H146">
        <f>SUMIF($F$2:$F$552,A146,$G$2:$G$552)</f>
        <v>2700.7599999999998</v>
      </c>
      <c r="I146" t="s">
        <v>475</v>
      </c>
    </row>
    <row r="147" spans="1:11" x14ac:dyDescent="0.25">
      <c r="B147" s="4">
        <v>45489</v>
      </c>
      <c r="C147" t="s">
        <v>187</v>
      </c>
      <c r="D147">
        <v>-3700</v>
      </c>
      <c r="E147">
        <v>6747.98</v>
      </c>
      <c r="F147" s="7"/>
      <c r="H147">
        <f>SUMIF($F$2:$F$552,A147,$G$2:$G$552)</f>
        <v>0</v>
      </c>
      <c r="I147" t="s">
        <v>478</v>
      </c>
      <c r="K147" s="7" t="s">
        <v>68</v>
      </c>
    </row>
    <row r="148" spans="1:11" x14ac:dyDescent="0.25">
      <c r="A148" t="s">
        <v>14</v>
      </c>
      <c r="B148" s="4">
        <v>45498</v>
      </c>
      <c r="C148" t="s">
        <v>188</v>
      </c>
      <c r="D148">
        <v>50</v>
      </c>
      <c r="E148">
        <v>6797.98</v>
      </c>
      <c r="F148" t="s">
        <v>14</v>
      </c>
      <c r="G148">
        <f t="shared" si="9"/>
        <v>50</v>
      </c>
      <c r="H148">
        <f>SUMIF($F$2:$F$552,A148,$G$2:$G$552)</f>
        <v>2821.3799999999992</v>
      </c>
      <c r="I148" t="s">
        <v>475</v>
      </c>
    </row>
    <row r="149" spans="1:11" x14ac:dyDescent="0.25">
      <c r="A149" t="s">
        <v>24</v>
      </c>
      <c r="B149" s="4">
        <v>45502</v>
      </c>
      <c r="C149" t="s">
        <v>189</v>
      </c>
      <c r="D149">
        <v>100</v>
      </c>
      <c r="E149">
        <v>6897.98</v>
      </c>
      <c r="F149" t="s">
        <v>24</v>
      </c>
      <c r="G149">
        <f t="shared" si="9"/>
        <v>100</v>
      </c>
      <c r="H149">
        <f>SUMIF($F$2:$F$552,A149,$G$2:$G$552)</f>
        <v>4003.3300000000022</v>
      </c>
      <c r="I149" t="s">
        <v>475</v>
      </c>
    </row>
    <row r="150" spans="1:11" x14ac:dyDescent="0.25">
      <c r="B150" s="3"/>
    </row>
    <row r="151" spans="1:11" x14ac:dyDescent="0.25">
      <c r="B151" s="4">
        <v>45505</v>
      </c>
      <c r="C151" t="s">
        <v>190</v>
      </c>
      <c r="E151">
        <v>6897.98</v>
      </c>
    </row>
    <row r="152" spans="1:11" x14ac:dyDescent="0.25">
      <c r="A152" t="s">
        <v>68</v>
      </c>
      <c r="B152" s="4">
        <v>45512</v>
      </c>
      <c r="C152" t="s">
        <v>191</v>
      </c>
      <c r="D152">
        <v>100.13</v>
      </c>
      <c r="E152">
        <v>6998.11</v>
      </c>
      <c r="F152" t="s">
        <v>68</v>
      </c>
      <c r="G152">
        <f t="shared" ref="G152:G158" si="10">VALUE(D152)</f>
        <v>100.13</v>
      </c>
      <c r="H152">
        <f>SUMIF($F$2:$F$552,A152,$G$2:$G$552)</f>
        <v>3804.9400000000028</v>
      </c>
      <c r="I152" t="s">
        <v>475</v>
      </c>
    </row>
    <row r="153" spans="1:11" x14ac:dyDescent="0.25">
      <c r="A153" t="s">
        <v>42</v>
      </c>
      <c r="B153" s="4">
        <v>45516</v>
      </c>
      <c r="C153" t="s">
        <v>192</v>
      </c>
      <c r="D153">
        <v>150</v>
      </c>
      <c r="E153">
        <v>7148.11</v>
      </c>
      <c r="F153" t="s">
        <v>42</v>
      </c>
      <c r="G153">
        <f t="shared" si="10"/>
        <v>150</v>
      </c>
      <c r="H153">
        <f>SUMIF($F$2:$F$552,A153,$G$2:$G$552)</f>
        <v>3400.06</v>
      </c>
      <c r="I153" t="s">
        <v>475</v>
      </c>
    </row>
    <row r="154" spans="1:11" x14ac:dyDescent="0.25">
      <c r="A154" t="s">
        <v>5</v>
      </c>
      <c r="B154" s="4">
        <v>45520</v>
      </c>
      <c r="C154" t="s">
        <v>65</v>
      </c>
      <c r="D154">
        <v>50.02</v>
      </c>
      <c r="E154">
        <v>7198.13</v>
      </c>
      <c r="F154" t="s">
        <v>5</v>
      </c>
      <c r="G154">
        <f t="shared" si="10"/>
        <v>50.02</v>
      </c>
      <c r="H154">
        <f>SUMIF($F$2:$F$552,A154,$G$2:$G$552)</f>
        <v>2700.7599999999998</v>
      </c>
      <c r="I154" t="s">
        <v>475</v>
      </c>
    </row>
    <row r="155" spans="1:11" x14ac:dyDescent="0.25">
      <c r="B155" s="4">
        <v>45530</v>
      </c>
      <c r="C155" t="s">
        <v>193</v>
      </c>
      <c r="D155">
        <v>317.60000000000002</v>
      </c>
      <c r="E155">
        <v>7515.73</v>
      </c>
      <c r="F155" s="7"/>
      <c r="G155">
        <f t="shared" si="10"/>
        <v>317.60000000000002</v>
      </c>
      <c r="H155">
        <f>SUMIF($F$2:$F$552,A155,$G$2:$G$552)</f>
        <v>0</v>
      </c>
      <c r="I155" t="s">
        <v>476</v>
      </c>
      <c r="K155" s="7" t="s">
        <v>68</v>
      </c>
    </row>
    <row r="156" spans="1:11" x14ac:dyDescent="0.25">
      <c r="A156" t="s">
        <v>33</v>
      </c>
      <c r="B156" s="4">
        <v>45530</v>
      </c>
      <c r="C156" t="s">
        <v>194</v>
      </c>
      <c r="D156">
        <v>50.07</v>
      </c>
      <c r="E156">
        <v>7565.8</v>
      </c>
      <c r="F156" t="s">
        <v>33</v>
      </c>
      <c r="G156">
        <f t="shared" si="10"/>
        <v>50.07</v>
      </c>
      <c r="H156">
        <f>SUMIF($F$2:$F$552,A156,$G$2:$G$552)</f>
        <v>2452.5199999999995</v>
      </c>
      <c r="I156" t="s">
        <v>475</v>
      </c>
    </row>
    <row r="157" spans="1:11" x14ac:dyDescent="0.25">
      <c r="A157" t="s">
        <v>14</v>
      </c>
      <c r="B157" s="4">
        <v>45531</v>
      </c>
      <c r="C157" t="s">
        <v>195</v>
      </c>
      <c r="D157">
        <v>100</v>
      </c>
      <c r="E157">
        <v>7665.8</v>
      </c>
      <c r="F157" t="s">
        <v>14</v>
      </c>
      <c r="G157">
        <f t="shared" si="10"/>
        <v>100</v>
      </c>
      <c r="H157">
        <f>SUMIF($F$2:$F$552,A157,$G$2:$G$552)</f>
        <v>2821.3799999999992</v>
      </c>
      <c r="I157" t="s">
        <v>475</v>
      </c>
    </row>
    <row r="158" spans="1:11" x14ac:dyDescent="0.25">
      <c r="A158" t="s">
        <v>24</v>
      </c>
      <c r="B158" s="4">
        <v>45533</v>
      </c>
      <c r="C158" t="s">
        <v>196</v>
      </c>
      <c r="D158">
        <v>100.09</v>
      </c>
      <c r="E158">
        <v>7765.89</v>
      </c>
      <c r="F158" t="s">
        <v>24</v>
      </c>
      <c r="G158">
        <f t="shared" si="10"/>
        <v>100.09</v>
      </c>
      <c r="H158">
        <f>SUMIF($F$2:$F$552,A158,$G$2:$G$552)</f>
        <v>4003.3300000000022</v>
      </c>
      <c r="I158" t="s">
        <v>475</v>
      </c>
    </row>
    <row r="159" spans="1:11" x14ac:dyDescent="0.25">
      <c r="B159" s="3"/>
    </row>
    <row r="160" spans="1:11" x14ac:dyDescent="0.25">
      <c r="A160" t="s">
        <v>73</v>
      </c>
      <c r="B160" s="4">
        <v>45539</v>
      </c>
      <c r="C160" t="s">
        <v>197</v>
      </c>
      <c r="D160">
        <v>100.04</v>
      </c>
      <c r="E160">
        <v>7865.93</v>
      </c>
      <c r="F160" t="s">
        <v>73</v>
      </c>
      <c r="G160">
        <f t="shared" ref="G160:G165" si="11">VALUE(D160)</f>
        <v>100.04</v>
      </c>
      <c r="H160">
        <f>SUMIF($F$2:$F$552,A160,$G$2:$G$552)</f>
        <v>2400.8399999999997</v>
      </c>
      <c r="I160" t="s">
        <v>475</v>
      </c>
    </row>
    <row r="161" spans="1:11" x14ac:dyDescent="0.25">
      <c r="A161" t="s">
        <v>68</v>
      </c>
      <c r="B161" s="4">
        <v>45551</v>
      </c>
      <c r="C161" t="s">
        <v>198</v>
      </c>
      <c r="D161">
        <v>100.13</v>
      </c>
      <c r="E161">
        <v>7966.06</v>
      </c>
      <c r="F161" t="s">
        <v>68</v>
      </c>
      <c r="G161">
        <f t="shared" si="11"/>
        <v>100.13</v>
      </c>
      <c r="H161">
        <f>SUMIF($F$2:$F$552,A161,$G$2:$G$552)</f>
        <v>3804.9400000000028</v>
      </c>
      <c r="I161" t="s">
        <v>475</v>
      </c>
    </row>
    <row r="162" spans="1:11" x14ac:dyDescent="0.25">
      <c r="A162" t="s">
        <v>5</v>
      </c>
      <c r="B162" s="4">
        <v>45551</v>
      </c>
      <c r="C162" t="s">
        <v>65</v>
      </c>
      <c r="D162">
        <v>50.02</v>
      </c>
      <c r="E162">
        <v>8016.08</v>
      </c>
      <c r="F162" t="s">
        <v>5</v>
      </c>
      <c r="G162">
        <f t="shared" si="11"/>
        <v>50.02</v>
      </c>
      <c r="H162">
        <f>SUMIF($F$2:$F$552,A162,$G$2:$G$552)</f>
        <v>2700.7599999999998</v>
      </c>
      <c r="I162" t="s">
        <v>475</v>
      </c>
    </row>
    <row r="163" spans="1:11" x14ac:dyDescent="0.25">
      <c r="B163" s="4">
        <v>45554</v>
      </c>
      <c r="C163" t="s">
        <v>199</v>
      </c>
      <c r="D163">
        <v>317.60000000000002</v>
      </c>
      <c r="E163">
        <v>8333.68</v>
      </c>
      <c r="F163" s="7"/>
      <c r="G163">
        <f t="shared" si="11"/>
        <v>317.60000000000002</v>
      </c>
      <c r="H163">
        <f>SUMIF($F$2:$F$552,A163,$G$2:$G$552)</f>
        <v>0</v>
      </c>
      <c r="I163" t="s">
        <v>476</v>
      </c>
      <c r="K163" s="7" t="s">
        <v>68</v>
      </c>
    </row>
    <row r="164" spans="1:11" x14ac:dyDescent="0.25">
      <c r="A164" t="s">
        <v>14</v>
      </c>
      <c r="B164" s="4">
        <v>45558</v>
      </c>
      <c r="C164" t="s">
        <v>200</v>
      </c>
      <c r="D164">
        <v>100</v>
      </c>
      <c r="E164">
        <v>8433.68</v>
      </c>
      <c r="F164" t="s">
        <v>14</v>
      </c>
      <c r="G164">
        <f t="shared" si="11"/>
        <v>100</v>
      </c>
      <c r="H164">
        <f>SUMIF($F$2:$F$552,A164,$G$2:$G$552)</f>
        <v>2821.3799999999992</v>
      </c>
      <c r="I164" t="s">
        <v>475</v>
      </c>
    </row>
    <row r="165" spans="1:11" x14ac:dyDescent="0.25">
      <c r="A165" t="s">
        <v>24</v>
      </c>
      <c r="B165" s="4">
        <v>45565</v>
      </c>
      <c r="C165" t="s">
        <v>201</v>
      </c>
      <c r="D165">
        <v>100.09</v>
      </c>
      <c r="E165">
        <v>8533.77</v>
      </c>
      <c r="F165" t="s">
        <v>24</v>
      </c>
      <c r="G165">
        <f t="shared" si="11"/>
        <v>100.09</v>
      </c>
      <c r="H165">
        <f>SUMIF($F$2:$F$552,A165,$G$2:$G$552)</f>
        <v>4003.3300000000022</v>
      </c>
      <c r="I165" t="s">
        <v>475</v>
      </c>
    </row>
    <row r="166" spans="1:11" x14ac:dyDescent="0.25">
      <c r="B166" s="3"/>
    </row>
    <row r="167" spans="1:11" x14ac:dyDescent="0.25">
      <c r="B167" s="3"/>
    </row>
    <row r="168" spans="1:11" x14ac:dyDescent="0.25">
      <c r="B168" s="4">
        <v>45566</v>
      </c>
      <c r="C168" t="s">
        <v>202</v>
      </c>
      <c r="E168">
        <v>8533.77</v>
      </c>
    </row>
    <row r="169" spans="1:11" x14ac:dyDescent="0.25">
      <c r="A169" t="s">
        <v>33</v>
      </c>
      <c r="B169" s="4">
        <v>45566</v>
      </c>
      <c r="C169" t="s">
        <v>203</v>
      </c>
      <c r="D169">
        <v>50.07</v>
      </c>
      <c r="E169">
        <v>8583.84</v>
      </c>
      <c r="F169" t="s">
        <v>33</v>
      </c>
      <c r="G169">
        <f t="shared" ref="G169:G175" si="12">VALUE(D169)</f>
        <v>50.07</v>
      </c>
      <c r="H169">
        <f>SUMIF($F$2:$F$552,A169,$G$2:$G$552)</f>
        <v>2452.5199999999995</v>
      </c>
      <c r="I169" t="s">
        <v>475</v>
      </c>
    </row>
    <row r="170" spans="1:11" x14ac:dyDescent="0.25">
      <c r="A170" t="s">
        <v>68</v>
      </c>
      <c r="B170" s="4">
        <v>45580</v>
      </c>
      <c r="C170" t="s">
        <v>204</v>
      </c>
      <c r="D170">
        <v>100.13</v>
      </c>
      <c r="E170">
        <v>8683.9699999999993</v>
      </c>
      <c r="F170" t="s">
        <v>68</v>
      </c>
      <c r="G170">
        <f t="shared" si="12"/>
        <v>100.13</v>
      </c>
      <c r="H170">
        <f>SUMIF($F$2:$F$552,A170,$G$2:$G$552)</f>
        <v>3804.9400000000028</v>
      </c>
      <c r="I170" t="s">
        <v>475</v>
      </c>
    </row>
    <row r="171" spans="1:11" x14ac:dyDescent="0.25">
      <c r="A171" t="s">
        <v>5</v>
      </c>
      <c r="B171" s="4">
        <v>45581</v>
      </c>
      <c r="C171" t="s">
        <v>65</v>
      </c>
      <c r="D171">
        <v>50.02</v>
      </c>
      <c r="E171">
        <v>8733.99</v>
      </c>
      <c r="F171" t="s">
        <v>5</v>
      </c>
      <c r="G171">
        <f t="shared" si="12"/>
        <v>50.02</v>
      </c>
      <c r="H171">
        <f>SUMIF($F$2:$F$552,A171,$G$2:$G$552)</f>
        <v>2700.7599999999998</v>
      </c>
      <c r="I171" t="s">
        <v>475</v>
      </c>
    </row>
    <row r="172" spans="1:11" x14ac:dyDescent="0.25">
      <c r="B172" s="4">
        <v>45593</v>
      </c>
      <c r="C172" t="s">
        <v>205</v>
      </c>
      <c r="D172">
        <v>317.60000000000002</v>
      </c>
      <c r="E172">
        <v>9051.59</v>
      </c>
      <c r="G172">
        <f t="shared" si="12"/>
        <v>317.60000000000002</v>
      </c>
      <c r="H172">
        <f>SUMIF($F$2:$F$552,A172,$G$2:$G$552)</f>
        <v>0</v>
      </c>
      <c r="I172" t="s">
        <v>476</v>
      </c>
      <c r="K172" s="7" t="s">
        <v>68</v>
      </c>
    </row>
    <row r="173" spans="1:11" x14ac:dyDescent="0.25">
      <c r="A173" t="s">
        <v>24</v>
      </c>
      <c r="B173" s="4">
        <v>45593</v>
      </c>
      <c r="C173" t="s">
        <v>206</v>
      </c>
      <c r="D173">
        <v>100.09</v>
      </c>
      <c r="E173">
        <v>9151.68</v>
      </c>
      <c r="F173" t="s">
        <v>24</v>
      </c>
      <c r="G173">
        <f t="shared" si="12"/>
        <v>100.09</v>
      </c>
      <c r="H173">
        <f>SUMIF($F$2:$F$552,A173,$G$2:$G$552)</f>
        <v>4003.3300000000022</v>
      </c>
      <c r="I173" t="s">
        <v>475</v>
      </c>
    </row>
    <row r="174" spans="1:11" x14ac:dyDescent="0.25">
      <c r="A174" t="s">
        <v>33</v>
      </c>
      <c r="B174" s="4">
        <v>45593</v>
      </c>
      <c r="C174" t="s">
        <v>207</v>
      </c>
      <c r="D174">
        <v>50.07</v>
      </c>
      <c r="E174">
        <v>9201.75</v>
      </c>
      <c r="F174" t="s">
        <v>33</v>
      </c>
      <c r="G174">
        <f t="shared" si="12"/>
        <v>50.07</v>
      </c>
      <c r="H174">
        <f>SUMIF($F$2:$F$552,A174,$G$2:$G$552)</f>
        <v>2452.5199999999995</v>
      </c>
      <c r="I174" t="s">
        <v>475</v>
      </c>
    </row>
    <row r="175" spans="1:11" x14ac:dyDescent="0.25">
      <c r="A175" t="s">
        <v>14</v>
      </c>
      <c r="B175" s="4">
        <v>45595</v>
      </c>
      <c r="C175" t="s">
        <v>208</v>
      </c>
      <c r="D175">
        <v>100</v>
      </c>
      <c r="E175">
        <v>9301.75</v>
      </c>
      <c r="F175" t="s">
        <v>14</v>
      </c>
      <c r="G175">
        <f t="shared" si="12"/>
        <v>100</v>
      </c>
      <c r="H175">
        <f>SUMIF($F$2:$F$552,A175,$G$2:$G$552)</f>
        <v>2821.3799999999992</v>
      </c>
      <c r="I175" t="s">
        <v>475</v>
      </c>
    </row>
    <row r="176" spans="1:11" x14ac:dyDescent="0.25">
      <c r="B176" s="3"/>
    </row>
    <row r="177" spans="1:11" x14ac:dyDescent="0.25">
      <c r="B177" s="3">
        <v>45597</v>
      </c>
      <c r="C177" t="s">
        <v>209</v>
      </c>
      <c r="E177">
        <v>9301.75</v>
      </c>
    </row>
    <row r="178" spans="1:11" x14ac:dyDescent="0.25">
      <c r="A178" t="s">
        <v>68</v>
      </c>
      <c r="B178" s="3">
        <v>45604</v>
      </c>
      <c r="C178" t="s">
        <v>210</v>
      </c>
      <c r="D178">
        <v>100.13</v>
      </c>
      <c r="E178">
        <v>9401.8799999999992</v>
      </c>
      <c r="F178" t="s">
        <v>68</v>
      </c>
      <c r="G178">
        <f t="shared" ref="G178:G184" si="13">VALUE(D178)</f>
        <v>100.13</v>
      </c>
      <c r="H178">
        <f>SUMIF($F$2:$F$552,A178,$G$2:$G$552)</f>
        <v>3804.9400000000028</v>
      </c>
      <c r="I178" t="s">
        <v>475</v>
      </c>
    </row>
    <row r="179" spans="1:11" x14ac:dyDescent="0.25">
      <c r="A179" t="s">
        <v>42</v>
      </c>
      <c r="B179" s="3">
        <v>45608</v>
      </c>
      <c r="C179" t="s">
        <v>211</v>
      </c>
      <c r="D179">
        <v>150</v>
      </c>
      <c r="E179">
        <v>9551.8799999999992</v>
      </c>
      <c r="F179" t="s">
        <v>42</v>
      </c>
      <c r="G179">
        <f t="shared" si="13"/>
        <v>150</v>
      </c>
      <c r="H179">
        <f>SUMIF($F$2:$F$552,A179,$G$2:$G$552)</f>
        <v>3400.06</v>
      </c>
      <c r="I179" t="s">
        <v>475</v>
      </c>
    </row>
    <row r="180" spans="1:11" x14ac:dyDescent="0.25">
      <c r="B180" s="3">
        <v>45610</v>
      </c>
      <c r="C180" t="s">
        <v>212</v>
      </c>
      <c r="D180">
        <v>317.60000000000002</v>
      </c>
      <c r="E180">
        <v>9869.48</v>
      </c>
      <c r="G180">
        <f t="shared" si="13"/>
        <v>317.60000000000002</v>
      </c>
      <c r="H180">
        <f>SUMIF($F$2:$F$552,A180,$G$2:$G$552)</f>
        <v>0</v>
      </c>
      <c r="I180" t="s">
        <v>476</v>
      </c>
      <c r="K180" s="7" t="s">
        <v>68</v>
      </c>
    </row>
    <row r="181" spans="1:11" x14ac:dyDescent="0.25">
      <c r="A181" t="s">
        <v>33</v>
      </c>
      <c r="B181" s="3">
        <v>45610</v>
      </c>
      <c r="C181" t="s">
        <v>213</v>
      </c>
      <c r="D181">
        <v>50.07</v>
      </c>
      <c r="E181">
        <v>9919.5499999999993</v>
      </c>
      <c r="F181" t="s">
        <v>33</v>
      </c>
      <c r="G181">
        <f t="shared" si="13"/>
        <v>50.07</v>
      </c>
      <c r="H181">
        <f>SUMIF($F$2:$F$552,A181,$G$2:$G$552)</f>
        <v>2452.5199999999995</v>
      </c>
      <c r="I181" t="s">
        <v>475</v>
      </c>
    </row>
    <row r="182" spans="1:11" x14ac:dyDescent="0.25">
      <c r="A182" t="s">
        <v>5</v>
      </c>
      <c r="B182" s="3">
        <v>45610</v>
      </c>
      <c r="C182" t="s">
        <v>65</v>
      </c>
      <c r="D182">
        <v>50.02</v>
      </c>
      <c r="E182">
        <f>E181+D182</f>
        <v>9969.57</v>
      </c>
      <c r="F182" t="s">
        <v>5</v>
      </c>
      <c r="G182">
        <f t="shared" si="13"/>
        <v>50.02</v>
      </c>
      <c r="H182">
        <f>SUMIF($F$2:$F$552,A182,$G$2:$G$552)</f>
        <v>2700.7599999999998</v>
      </c>
      <c r="I182" t="s">
        <v>475</v>
      </c>
    </row>
    <row r="183" spans="1:11" x14ac:dyDescent="0.25">
      <c r="B183" s="3">
        <v>45623</v>
      </c>
      <c r="C183" t="s">
        <v>214</v>
      </c>
      <c r="D183">
        <v>-6000</v>
      </c>
      <c r="E183">
        <v>3969.57</v>
      </c>
      <c r="G183">
        <f t="shared" si="13"/>
        <v>-6000</v>
      </c>
      <c r="H183">
        <f>SUMIF($F$2:$F$552,A183,$G$2:$G$552)</f>
        <v>0</v>
      </c>
      <c r="I183" t="s">
        <v>478</v>
      </c>
      <c r="K183" s="7" t="s">
        <v>19</v>
      </c>
    </row>
    <row r="184" spans="1:11" x14ac:dyDescent="0.25">
      <c r="A184" t="s">
        <v>24</v>
      </c>
      <c r="B184" s="3">
        <v>45625</v>
      </c>
      <c r="C184" t="s">
        <v>215</v>
      </c>
      <c r="D184">
        <v>100.09</v>
      </c>
      <c r="E184">
        <v>4069.66</v>
      </c>
      <c r="F184" t="s">
        <v>24</v>
      </c>
      <c r="G184">
        <f t="shared" si="13"/>
        <v>100.09</v>
      </c>
      <c r="H184">
        <f>SUMIF($F$2:$F$552,A184,$G$2:$G$552)</f>
        <v>4003.3300000000022</v>
      </c>
      <c r="I184" t="s">
        <v>475</v>
      </c>
    </row>
    <row r="185" spans="1:11" x14ac:dyDescent="0.25">
      <c r="B185" s="3"/>
    </row>
    <row r="186" spans="1:11" x14ac:dyDescent="0.25">
      <c r="B186" s="3"/>
    </row>
    <row r="187" spans="1:11" x14ac:dyDescent="0.25">
      <c r="B187" s="4">
        <v>45626</v>
      </c>
      <c r="C187" t="s">
        <v>216</v>
      </c>
      <c r="E187">
        <v>4069.66</v>
      </c>
      <c r="G187">
        <f t="shared" ref="G187:G202" si="14">VALUE(D187)</f>
        <v>0</v>
      </c>
      <c r="H187">
        <f>SUMIF($F$2:$F$552,A187,$G$2:$G$552)</f>
        <v>0</v>
      </c>
    </row>
    <row r="188" spans="1:11" x14ac:dyDescent="0.25">
      <c r="B188" s="4">
        <v>45635</v>
      </c>
      <c r="C188" t="s">
        <v>217</v>
      </c>
      <c r="D188">
        <v>600</v>
      </c>
      <c r="E188">
        <v>4669.66</v>
      </c>
      <c r="G188">
        <f t="shared" si="14"/>
        <v>600</v>
      </c>
      <c r="H188">
        <f>SUMIF($F$2:$F$552,A188,$G$2:$G$552)</f>
        <v>0</v>
      </c>
      <c r="I188" t="s">
        <v>476</v>
      </c>
      <c r="K188" s="7" t="s">
        <v>19</v>
      </c>
    </row>
    <row r="189" spans="1:11" x14ac:dyDescent="0.25">
      <c r="A189" t="s">
        <v>68</v>
      </c>
      <c r="B189" s="4">
        <v>45635</v>
      </c>
      <c r="C189" t="s">
        <v>218</v>
      </c>
      <c r="D189">
        <v>100.13</v>
      </c>
      <c r="E189">
        <v>4769.79</v>
      </c>
      <c r="F189" t="s">
        <v>68</v>
      </c>
      <c r="G189">
        <f t="shared" si="14"/>
        <v>100.13</v>
      </c>
      <c r="H189">
        <f>SUMIF($F$2:$F$552,A189,$G$2:$G$552)</f>
        <v>3804.9400000000028</v>
      </c>
      <c r="I189" t="s">
        <v>475</v>
      </c>
    </row>
    <row r="190" spans="1:11" x14ac:dyDescent="0.25">
      <c r="A190" t="s">
        <v>28</v>
      </c>
      <c r="B190" s="4">
        <v>45635</v>
      </c>
      <c r="C190" t="s">
        <v>219</v>
      </c>
      <c r="D190">
        <v>100</v>
      </c>
      <c r="E190">
        <v>4869.79</v>
      </c>
      <c r="F190" t="s">
        <v>28</v>
      </c>
      <c r="G190">
        <f t="shared" si="14"/>
        <v>100</v>
      </c>
      <c r="H190">
        <f>SUMIF($F$2:$F$552,A190,$G$2:$G$552)</f>
        <v>2356.04</v>
      </c>
      <c r="I190" t="s">
        <v>475</v>
      </c>
    </row>
    <row r="191" spans="1:11" x14ac:dyDescent="0.25">
      <c r="A191" t="s">
        <v>33</v>
      </c>
      <c r="B191" s="4">
        <v>45635</v>
      </c>
      <c r="C191" t="s">
        <v>220</v>
      </c>
      <c r="D191">
        <v>50.07</v>
      </c>
      <c r="E191">
        <v>4919.8599999999997</v>
      </c>
      <c r="F191" t="s">
        <v>33</v>
      </c>
      <c r="G191">
        <f t="shared" si="14"/>
        <v>50.07</v>
      </c>
      <c r="H191">
        <f>SUMIF($F$2:$F$552,A191,$G$2:$G$552)</f>
        <v>2452.5199999999995</v>
      </c>
      <c r="I191" t="s">
        <v>475</v>
      </c>
    </row>
    <row r="192" spans="1:11" x14ac:dyDescent="0.25">
      <c r="A192" t="s">
        <v>42</v>
      </c>
      <c r="B192" s="4">
        <v>45636</v>
      </c>
      <c r="C192" t="s">
        <v>221</v>
      </c>
      <c r="D192">
        <v>150</v>
      </c>
      <c r="E192">
        <v>5069.8599999999997</v>
      </c>
      <c r="F192" t="s">
        <v>42</v>
      </c>
      <c r="G192">
        <f t="shared" si="14"/>
        <v>150</v>
      </c>
      <c r="H192">
        <f>SUMIF($F$2:$F$552,A192,$G$2:$G$552)</f>
        <v>3400.06</v>
      </c>
      <c r="I192" t="s">
        <v>475</v>
      </c>
    </row>
    <row r="193" spans="1:11" x14ac:dyDescent="0.25">
      <c r="A193" t="s">
        <v>222</v>
      </c>
      <c r="B193" s="4">
        <v>45639</v>
      </c>
      <c r="C193" t="s">
        <v>223</v>
      </c>
      <c r="D193">
        <v>150</v>
      </c>
      <c r="E193">
        <v>5219.8599999999997</v>
      </c>
      <c r="F193" t="s">
        <v>222</v>
      </c>
      <c r="G193">
        <f t="shared" si="14"/>
        <v>150</v>
      </c>
      <c r="H193">
        <f>SUMIF($F$2:$F$552,A193,$G$2:$G$552)</f>
        <v>2717.5000000000005</v>
      </c>
      <c r="I193" t="s">
        <v>475</v>
      </c>
    </row>
    <row r="194" spans="1:11" x14ac:dyDescent="0.25">
      <c r="B194" s="4">
        <v>45642</v>
      </c>
      <c r="C194" t="s">
        <v>224</v>
      </c>
      <c r="D194">
        <v>317.60000000000002</v>
      </c>
      <c r="E194">
        <v>5537.46</v>
      </c>
      <c r="G194">
        <f t="shared" si="14"/>
        <v>317.60000000000002</v>
      </c>
      <c r="H194">
        <f>SUMIF($F$2:$F$552,A194,$G$2:$G$552)</f>
        <v>0</v>
      </c>
      <c r="I194" t="s">
        <v>476</v>
      </c>
      <c r="K194" s="7" t="s">
        <v>68</v>
      </c>
    </row>
    <row r="195" spans="1:11" x14ac:dyDescent="0.25">
      <c r="A195" t="s">
        <v>225</v>
      </c>
      <c r="B195" s="4">
        <v>45642</v>
      </c>
      <c r="C195" t="s">
        <v>226</v>
      </c>
      <c r="D195">
        <v>150</v>
      </c>
      <c r="E195">
        <v>5687.46</v>
      </c>
      <c r="F195" t="s">
        <v>225</v>
      </c>
      <c r="G195">
        <f t="shared" si="14"/>
        <v>150</v>
      </c>
      <c r="H195">
        <f>SUMIF($F$2:$F$552,A195,$G$2:$G$552)</f>
        <v>902.54999999999984</v>
      </c>
      <c r="I195" t="s">
        <v>475</v>
      </c>
    </row>
    <row r="196" spans="1:11" x14ac:dyDescent="0.25">
      <c r="A196" t="s">
        <v>14</v>
      </c>
      <c r="B196" s="4">
        <v>45642</v>
      </c>
      <c r="C196" t="s">
        <v>227</v>
      </c>
      <c r="D196">
        <v>100</v>
      </c>
      <c r="E196">
        <v>5787.46</v>
      </c>
      <c r="F196" t="s">
        <v>14</v>
      </c>
      <c r="G196">
        <f t="shared" si="14"/>
        <v>100</v>
      </c>
      <c r="H196">
        <f>SUMIF($F$2:$F$552,A196,$G$2:$G$552)</f>
        <v>2821.3799999999992</v>
      </c>
      <c r="I196" t="s">
        <v>475</v>
      </c>
    </row>
    <row r="197" spans="1:11" x14ac:dyDescent="0.25">
      <c r="A197" t="s">
        <v>5</v>
      </c>
      <c r="B197" s="4">
        <v>45642</v>
      </c>
      <c r="C197" t="s">
        <v>65</v>
      </c>
      <c r="D197">
        <v>50.02</v>
      </c>
      <c r="E197">
        <v>5837.48</v>
      </c>
      <c r="F197" t="s">
        <v>5</v>
      </c>
      <c r="G197">
        <f t="shared" si="14"/>
        <v>50.02</v>
      </c>
      <c r="H197">
        <f>SUMIF($F$2:$F$552,A197,$G$2:$G$552)</f>
        <v>2700.7599999999998</v>
      </c>
      <c r="I197" t="s">
        <v>475</v>
      </c>
    </row>
    <row r="198" spans="1:11" x14ac:dyDescent="0.25">
      <c r="B198" s="4">
        <v>45642</v>
      </c>
      <c r="C198" t="s">
        <v>228</v>
      </c>
      <c r="D198">
        <v>-220</v>
      </c>
      <c r="E198">
        <v>5617.48</v>
      </c>
      <c r="G198">
        <f t="shared" si="14"/>
        <v>-220</v>
      </c>
      <c r="H198">
        <f>SUMIF($F$2:$F$552,A198,$G$2:$G$552)</f>
        <v>0</v>
      </c>
      <c r="I198" t="s">
        <v>480</v>
      </c>
      <c r="J198" t="s">
        <v>482</v>
      </c>
    </row>
    <row r="199" spans="1:11" x14ac:dyDescent="0.25">
      <c r="B199" s="4">
        <v>45642</v>
      </c>
      <c r="C199" t="s">
        <v>229</v>
      </c>
      <c r="D199">
        <v>-30.54</v>
      </c>
      <c r="E199">
        <v>5586.94</v>
      </c>
      <c r="G199">
        <f t="shared" si="14"/>
        <v>-30.54</v>
      </c>
      <c r="H199">
        <f>SUMIF($F$2:$F$552,A199,$G$2:$G$552)</f>
        <v>0</v>
      </c>
      <c r="I199" t="s">
        <v>480</v>
      </c>
      <c r="J199" t="s">
        <v>482</v>
      </c>
    </row>
    <row r="200" spans="1:11" x14ac:dyDescent="0.25">
      <c r="B200" s="4">
        <v>45642</v>
      </c>
      <c r="C200" t="s">
        <v>230</v>
      </c>
      <c r="D200">
        <v>-99.5</v>
      </c>
      <c r="E200">
        <v>5487.44</v>
      </c>
      <c r="G200">
        <f t="shared" si="14"/>
        <v>-99.5</v>
      </c>
      <c r="H200">
        <f>SUMIF($F$2:$F$552,A200,$G$2:$G$552)</f>
        <v>0</v>
      </c>
      <c r="I200" t="s">
        <v>480</v>
      </c>
      <c r="J200" t="s">
        <v>483</v>
      </c>
    </row>
    <row r="201" spans="1:11" x14ac:dyDescent="0.25">
      <c r="A201" t="s">
        <v>231</v>
      </c>
      <c r="B201" s="4">
        <v>45656</v>
      </c>
      <c r="C201" t="s">
        <v>232</v>
      </c>
      <c r="D201">
        <v>150</v>
      </c>
      <c r="E201">
        <v>5637.44</v>
      </c>
      <c r="F201" t="s">
        <v>231</v>
      </c>
      <c r="G201">
        <f t="shared" si="14"/>
        <v>150</v>
      </c>
      <c r="H201">
        <f>SUMIF($F$2:$F$552,A201,$G$2:$G$552)</f>
        <v>650</v>
      </c>
      <c r="I201" t="s">
        <v>475</v>
      </c>
    </row>
    <row r="202" spans="1:11" x14ac:dyDescent="0.25">
      <c r="A202" t="s">
        <v>24</v>
      </c>
      <c r="B202" s="4">
        <v>45656</v>
      </c>
      <c r="C202" t="s">
        <v>233</v>
      </c>
      <c r="D202">
        <v>100.09</v>
      </c>
      <c r="E202">
        <v>5737.53</v>
      </c>
      <c r="F202" t="s">
        <v>24</v>
      </c>
      <c r="G202">
        <f t="shared" si="14"/>
        <v>100.09</v>
      </c>
      <c r="H202">
        <f>SUMIF($F$2:$F$552,A202,$G$2:$G$552)</f>
        <v>4003.3300000000022</v>
      </c>
      <c r="I202" t="s">
        <v>475</v>
      </c>
    </row>
    <row r="203" spans="1:11" x14ac:dyDescent="0.25">
      <c r="B203" s="3"/>
    </row>
    <row r="204" spans="1:11" x14ac:dyDescent="0.25">
      <c r="B204" s="4">
        <v>45658</v>
      </c>
      <c r="C204" t="s">
        <v>234</v>
      </c>
      <c r="E204">
        <v>5737.53</v>
      </c>
      <c r="G204">
        <f t="shared" ref="G204:G214" si="15">VALUE(D204)</f>
        <v>0</v>
      </c>
      <c r="H204">
        <f>SUMIF($F$2:$F$552,A204,$G$2:$G$552)</f>
        <v>0</v>
      </c>
    </row>
    <row r="205" spans="1:11" x14ac:dyDescent="0.25">
      <c r="A205" t="s">
        <v>222</v>
      </c>
      <c r="B205" s="4">
        <v>45659</v>
      </c>
      <c r="C205" t="s">
        <v>235</v>
      </c>
      <c r="D205">
        <v>316</v>
      </c>
      <c r="E205">
        <v>6053.53</v>
      </c>
      <c r="F205" t="s">
        <v>222</v>
      </c>
      <c r="G205">
        <f t="shared" si="15"/>
        <v>316</v>
      </c>
      <c r="H205">
        <f>SUMIF($F$2:$F$552,A205,$G$2:$G$552)</f>
        <v>2717.5000000000005</v>
      </c>
      <c r="I205" t="s">
        <v>475</v>
      </c>
    </row>
    <row r="206" spans="1:11" x14ac:dyDescent="0.25">
      <c r="B206" s="4">
        <v>45659</v>
      </c>
      <c r="C206" t="s">
        <v>236</v>
      </c>
      <c r="D206">
        <v>-24</v>
      </c>
      <c r="E206">
        <v>6029.53</v>
      </c>
      <c r="G206">
        <f t="shared" si="15"/>
        <v>-24</v>
      </c>
      <c r="H206">
        <f>SUMIF($F$2:$F$552,A206,$G$2:$G$552)</f>
        <v>0</v>
      </c>
      <c r="I206" t="s">
        <v>480</v>
      </c>
    </row>
    <row r="207" spans="1:11" x14ac:dyDescent="0.25">
      <c r="A207" t="s">
        <v>28</v>
      </c>
      <c r="B207" s="4">
        <v>45663</v>
      </c>
      <c r="C207" t="s">
        <v>237</v>
      </c>
      <c r="D207">
        <v>106</v>
      </c>
      <c r="E207">
        <v>6135.53</v>
      </c>
      <c r="F207" t="s">
        <v>28</v>
      </c>
      <c r="G207">
        <f t="shared" si="15"/>
        <v>106</v>
      </c>
      <c r="H207">
        <f>SUMIF($F$2:$F$552,A207,$G$2:$G$552)</f>
        <v>2356.04</v>
      </c>
      <c r="I207" t="s">
        <v>475</v>
      </c>
    </row>
    <row r="208" spans="1:11" x14ac:dyDescent="0.25">
      <c r="B208" s="4">
        <v>45664</v>
      </c>
      <c r="C208" t="s">
        <v>21</v>
      </c>
      <c r="D208">
        <v>560</v>
      </c>
      <c r="E208">
        <v>6695.53</v>
      </c>
      <c r="G208">
        <f t="shared" si="15"/>
        <v>560</v>
      </c>
      <c r="H208">
        <f>SUMIF($F$2:$F$552,A208,$G$2:$G$552)</f>
        <v>0</v>
      </c>
      <c r="I208" t="s">
        <v>476</v>
      </c>
      <c r="K208" s="7" t="s">
        <v>19</v>
      </c>
    </row>
    <row r="209" spans="1:11" x14ac:dyDescent="0.25">
      <c r="A209" t="s">
        <v>225</v>
      </c>
      <c r="B209" s="4">
        <v>45664</v>
      </c>
      <c r="C209" t="s">
        <v>226</v>
      </c>
      <c r="D209">
        <v>50.17</v>
      </c>
      <c r="E209">
        <v>6745.7</v>
      </c>
      <c r="F209" t="s">
        <v>225</v>
      </c>
      <c r="G209">
        <f t="shared" si="15"/>
        <v>50.17</v>
      </c>
      <c r="H209">
        <f>SUMIF($F$2:$F$552,A209,$G$2:$G$552)</f>
        <v>902.54999999999984</v>
      </c>
      <c r="I209" t="s">
        <v>475</v>
      </c>
    </row>
    <row r="210" spans="1:11" x14ac:dyDescent="0.25">
      <c r="A210" t="s">
        <v>42</v>
      </c>
      <c r="B210" s="4">
        <v>45667</v>
      </c>
      <c r="C210" t="s">
        <v>238</v>
      </c>
      <c r="D210">
        <v>150</v>
      </c>
      <c r="E210">
        <v>6895.7</v>
      </c>
      <c r="F210" t="s">
        <v>42</v>
      </c>
      <c r="G210">
        <f t="shared" si="15"/>
        <v>150</v>
      </c>
      <c r="H210">
        <f>SUMIF($F$2:$F$552,A210,$G$2:$G$552)</f>
        <v>3400.06</v>
      </c>
      <c r="I210" t="s">
        <v>475</v>
      </c>
    </row>
    <row r="211" spans="1:11" x14ac:dyDescent="0.25">
      <c r="A211" t="s">
        <v>5</v>
      </c>
      <c r="B211" s="4">
        <v>45673</v>
      </c>
      <c r="C211" t="s">
        <v>65</v>
      </c>
      <c r="D211">
        <v>50.02</v>
      </c>
      <c r="E211">
        <v>6945.72</v>
      </c>
      <c r="F211" t="s">
        <v>5</v>
      </c>
      <c r="G211">
        <f t="shared" si="15"/>
        <v>50.02</v>
      </c>
      <c r="H211">
        <f>SUMIF($F$2:$F$552,A211,$G$2:$G$552)</f>
        <v>2700.7599999999998</v>
      </c>
      <c r="I211" t="s">
        <v>475</v>
      </c>
    </row>
    <row r="212" spans="1:11" x14ac:dyDescent="0.25">
      <c r="B212" s="4">
        <v>45684</v>
      </c>
      <c r="C212" t="s">
        <v>239</v>
      </c>
      <c r="D212">
        <v>317.60000000000002</v>
      </c>
      <c r="E212">
        <v>7263.32</v>
      </c>
      <c r="G212">
        <f t="shared" si="15"/>
        <v>317.60000000000002</v>
      </c>
      <c r="H212">
        <f>SUMIF($F$2:$F$552,A212,$G$2:$G$552)</f>
        <v>0</v>
      </c>
      <c r="I212" t="s">
        <v>476</v>
      </c>
      <c r="K212" s="7" t="s">
        <v>68</v>
      </c>
    </row>
    <row r="213" spans="1:11" x14ac:dyDescent="0.25">
      <c r="A213" t="s">
        <v>24</v>
      </c>
      <c r="B213" s="4">
        <v>45685</v>
      </c>
      <c r="C213" t="s">
        <v>240</v>
      </c>
      <c r="D213">
        <v>100.09</v>
      </c>
      <c r="E213">
        <v>7363.41</v>
      </c>
      <c r="F213" t="s">
        <v>24</v>
      </c>
      <c r="G213">
        <f t="shared" si="15"/>
        <v>100.09</v>
      </c>
      <c r="H213">
        <f>SUMIF($F$2:$F$552,A213,$G$2:$G$552)</f>
        <v>4003.3300000000022</v>
      </c>
      <c r="I213" t="s">
        <v>475</v>
      </c>
    </row>
    <row r="214" spans="1:11" x14ac:dyDescent="0.25">
      <c r="A214" t="s">
        <v>33</v>
      </c>
      <c r="B214" s="4">
        <v>45686</v>
      </c>
      <c r="D214">
        <v>50.07</v>
      </c>
      <c r="E214">
        <f>E213+D214</f>
        <v>7413.48</v>
      </c>
      <c r="F214" t="s">
        <v>33</v>
      </c>
      <c r="G214">
        <f t="shared" si="15"/>
        <v>50.07</v>
      </c>
      <c r="H214">
        <f>SUMIF($F$2:$F$552,A214,$G$2:$G$552)</f>
        <v>2452.5199999999995</v>
      </c>
      <c r="I214" t="s">
        <v>475</v>
      </c>
    </row>
    <row r="215" spans="1:11" x14ac:dyDescent="0.25">
      <c r="A215" t="s">
        <v>241</v>
      </c>
      <c r="B215" s="3">
        <v>45687</v>
      </c>
      <c r="D215">
        <v>150</v>
      </c>
      <c r="E215">
        <f>E214+D215</f>
        <v>7563.48</v>
      </c>
      <c r="F215" t="s">
        <v>241</v>
      </c>
      <c r="G215">
        <f>VALUE(D215)</f>
        <v>150</v>
      </c>
      <c r="H215">
        <f>SUMIF($F$2:$F$552,A215,$G$2:$G$552)</f>
        <v>590</v>
      </c>
      <c r="I215" t="s">
        <v>475</v>
      </c>
    </row>
    <row r="216" spans="1:11" x14ac:dyDescent="0.25">
      <c r="A216" t="s">
        <v>14</v>
      </c>
      <c r="B216" s="3">
        <v>45687</v>
      </c>
      <c r="D216">
        <v>50.06</v>
      </c>
      <c r="E216">
        <f>E215+D216</f>
        <v>7613.54</v>
      </c>
      <c r="F216" t="s">
        <v>14</v>
      </c>
      <c r="G216">
        <f>VALUE(D216)</f>
        <v>50.06</v>
      </c>
      <c r="H216">
        <f>SUMIF($F$2:$F$552,A216,$G$2:$G$552)</f>
        <v>2821.3799999999992</v>
      </c>
      <c r="I216" t="s">
        <v>475</v>
      </c>
    </row>
    <row r="217" spans="1:11" x14ac:dyDescent="0.25">
      <c r="B217" s="3"/>
    </row>
    <row r="218" spans="1:11" x14ac:dyDescent="0.25">
      <c r="B218" s="3"/>
    </row>
    <row r="219" spans="1:11" x14ac:dyDescent="0.25">
      <c r="B219" s="4">
        <v>45689</v>
      </c>
      <c r="C219" t="s">
        <v>242</v>
      </c>
      <c r="E219">
        <v>7613.54</v>
      </c>
    </row>
    <row r="220" spans="1:11" x14ac:dyDescent="0.25">
      <c r="A220" t="s">
        <v>222</v>
      </c>
      <c r="B220" s="4">
        <v>45691</v>
      </c>
      <c r="C220" t="s">
        <v>243</v>
      </c>
      <c r="D220">
        <v>300.14999999999998</v>
      </c>
      <c r="E220">
        <v>7913.69</v>
      </c>
      <c r="F220" t="s">
        <v>222</v>
      </c>
      <c r="G220">
        <f t="shared" ref="G220:G232" si="16">VALUE(D220)</f>
        <v>300.14999999999998</v>
      </c>
      <c r="H220">
        <f>SUMIF($F$2:$F$552,A220,$G$2:$G$552)</f>
        <v>2717.5000000000005</v>
      </c>
      <c r="I220" t="s">
        <v>475</v>
      </c>
    </row>
    <row r="221" spans="1:11" x14ac:dyDescent="0.25">
      <c r="A221" t="s">
        <v>68</v>
      </c>
      <c r="B221" s="4">
        <v>45691</v>
      </c>
      <c r="C221" t="s">
        <v>244</v>
      </c>
      <c r="D221">
        <v>100.13</v>
      </c>
      <c r="E221">
        <v>8013.82</v>
      </c>
      <c r="F221" t="s">
        <v>68</v>
      </c>
      <c r="G221">
        <f t="shared" si="16"/>
        <v>100.13</v>
      </c>
      <c r="H221">
        <f>SUMIF($F$2:$F$552,A221,$G$2:$G$552)</f>
        <v>3804.9400000000028</v>
      </c>
      <c r="I221" t="s">
        <v>475</v>
      </c>
    </row>
    <row r="222" spans="1:11" x14ac:dyDescent="0.25">
      <c r="B222" s="4">
        <v>45691</v>
      </c>
      <c r="C222" t="s">
        <v>245</v>
      </c>
      <c r="D222">
        <v>-155.88</v>
      </c>
      <c r="E222">
        <v>7857.94</v>
      </c>
      <c r="I222" t="s">
        <v>480</v>
      </c>
      <c r="J222" t="s">
        <v>483</v>
      </c>
    </row>
    <row r="223" spans="1:11" x14ac:dyDescent="0.25">
      <c r="B223" s="4">
        <v>45692</v>
      </c>
      <c r="C223" t="s">
        <v>21</v>
      </c>
      <c r="D223">
        <v>600</v>
      </c>
      <c r="E223">
        <v>8457.94</v>
      </c>
      <c r="I223" t="s">
        <v>476</v>
      </c>
      <c r="K223" s="7" t="s">
        <v>19</v>
      </c>
    </row>
    <row r="224" spans="1:11" x14ac:dyDescent="0.25">
      <c r="A224" t="s">
        <v>241</v>
      </c>
      <c r="B224" s="4">
        <v>45692</v>
      </c>
      <c r="C224" t="s">
        <v>246</v>
      </c>
      <c r="D224">
        <v>240</v>
      </c>
      <c r="E224">
        <v>8697.94</v>
      </c>
      <c r="F224" t="s">
        <v>241</v>
      </c>
      <c r="G224">
        <f t="shared" si="16"/>
        <v>240</v>
      </c>
      <c r="H224">
        <f>SUMIF($F$2:$F$552,A224,$G$2:$G$552)</f>
        <v>590</v>
      </c>
      <c r="I224" t="s">
        <v>475</v>
      </c>
    </row>
    <row r="225" spans="1:11" x14ac:dyDescent="0.25">
      <c r="A225" t="s">
        <v>28</v>
      </c>
      <c r="B225" s="4">
        <v>45693</v>
      </c>
      <c r="C225" t="s">
        <v>247</v>
      </c>
      <c r="D225">
        <v>100</v>
      </c>
      <c r="E225">
        <v>8797.94</v>
      </c>
      <c r="F225" t="s">
        <v>28</v>
      </c>
      <c r="G225">
        <f t="shared" si="16"/>
        <v>100</v>
      </c>
      <c r="H225">
        <f>SUMIF($F$2:$F$552,A225,$G$2:$G$552)</f>
        <v>2356.04</v>
      </c>
      <c r="I225" t="s">
        <v>475</v>
      </c>
    </row>
    <row r="226" spans="1:11" x14ac:dyDescent="0.25">
      <c r="A226" t="s">
        <v>225</v>
      </c>
      <c r="B226" s="4">
        <v>45695</v>
      </c>
      <c r="C226" t="s">
        <v>226</v>
      </c>
      <c r="D226">
        <v>50.17</v>
      </c>
      <c r="E226">
        <v>8848.11</v>
      </c>
      <c r="F226" t="s">
        <v>225</v>
      </c>
      <c r="G226">
        <f t="shared" si="16"/>
        <v>50.17</v>
      </c>
      <c r="H226">
        <f>SUMIF($F$2:$F$552,A226,$G$2:$G$552)</f>
        <v>902.54999999999984</v>
      </c>
      <c r="I226" t="s">
        <v>475</v>
      </c>
    </row>
    <row r="227" spans="1:11" x14ac:dyDescent="0.25">
      <c r="A227" t="s">
        <v>42</v>
      </c>
      <c r="B227" s="4">
        <v>45698</v>
      </c>
      <c r="C227" t="s">
        <v>248</v>
      </c>
      <c r="D227">
        <v>150</v>
      </c>
      <c r="E227">
        <v>8998.11</v>
      </c>
      <c r="F227" t="s">
        <v>42</v>
      </c>
      <c r="G227">
        <f t="shared" si="16"/>
        <v>150</v>
      </c>
      <c r="H227">
        <f>SUMIF($F$2:$F$552,A227,$G$2:$G$552)</f>
        <v>3400.06</v>
      </c>
      <c r="I227" t="s">
        <v>475</v>
      </c>
    </row>
    <row r="228" spans="1:11" x14ac:dyDescent="0.25">
      <c r="B228" s="4">
        <v>45706</v>
      </c>
      <c r="C228" t="s">
        <v>249</v>
      </c>
      <c r="D228">
        <v>317.60000000000002</v>
      </c>
      <c r="E228">
        <v>9315.7099999999991</v>
      </c>
      <c r="I228" t="s">
        <v>476</v>
      </c>
      <c r="K228" s="7" t="s">
        <v>68</v>
      </c>
    </row>
    <row r="229" spans="1:11" x14ac:dyDescent="0.25">
      <c r="A229" t="s">
        <v>68</v>
      </c>
      <c r="B229" s="4">
        <v>45706</v>
      </c>
      <c r="C229" t="s">
        <v>250</v>
      </c>
      <c r="D229">
        <v>100.13</v>
      </c>
      <c r="E229">
        <v>9415.84</v>
      </c>
      <c r="F229" t="s">
        <v>68</v>
      </c>
      <c r="G229">
        <f t="shared" si="16"/>
        <v>100.13</v>
      </c>
      <c r="H229">
        <f>SUMIF($F$2:$F$552,A229,$G$2:$G$552)</f>
        <v>3804.9400000000028</v>
      </c>
      <c r="I229" t="s">
        <v>475</v>
      </c>
    </row>
    <row r="230" spans="1:11" x14ac:dyDescent="0.25">
      <c r="A230" t="s">
        <v>231</v>
      </c>
      <c r="B230" s="4">
        <v>45706</v>
      </c>
      <c r="C230" t="s">
        <v>251</v>
      </c>
      <c r="D230">
        <v>100</v>
      </c>
      <c r="E230">
        <v>9515.84</v>
      </c>
      <c r="F230" t="s">
        <v>231</v>
      </c>
      <c r="G230">
        <f t="shared" si="16"/>
        <v>100</v>
      </c>
      <c r="H230">
        <f>SUMIF($F$2:$F$552,A230,$G$2:$G$552)</f>
        <v>650</v>
      </c>
      <c r="I230" t="s">
        <v>475</v>
      </c>
    </row>
    <row r="231" spans="1:11" x14ac:dyDescent="0.25">
      <c r="A231" t="s">
        <v>33</v>
      </c>
      <c r="B231" s="4">
        <v>45706</v>
      </c>
      <c r="C231" t="s">
        <v>252</v>
      </c>
      <c r="D231">
        <v>50.07</v>
      </c>
      <c r="E231">
        <v>9565.91</v>
      </c>
      <c r="F231" t="s">
        <v>33</v>
      </c>
      <c r="G231">
        <f t="shared" si="16"/>
        <v>50.07</v>
      </c>
      <c r="H231">
        <f>SUMIF($F$2:$F$552,A231,$G$2:$G$552)</f>
        <v>2452.5199999999995</v>
      </c>
      <c r="I231" t="s">
        <v>475</v>
      </c>
    </row>
    <row r="232" spans="1:11" x14ac:dyDescent="0.25">
      <c r="A232" t="s">
        <v>5</v>
      </c>
      <c r="B232" s="4">
        <v>45706</v>
      </c>
      <c r="C232" t="s">
        <v>65</v>
      </c>
      <c r="D232">
        <v>50.02</v>
      </c>
      <c r="E232">
        <v>9615.93</v>
      </c>
      <c r="F232" t="s">
        <v>5</v>
      </c>
      <c r="G232">
        <f t="shared" si="16"/>
        <v>50.02</v>
      </c>
      <c r="H232">
        <f>SUMIF($F$2:$F$552,A232,$G$2:$G$552)</f>
        <v>2700.7599999999998</v>
      </c>
      <c r="I232" t="s">
        <v>475</v>
      </c>
    </row>
    <row r="233" spans="1:11" x14ac:dyDescent="0.25">
      <c r="B233" s="4">
        <v>45712</v>
      </c>
      <c r="C233" t="s">
        <v>253</v>
      </c>
      <c r="D233">
        <v>-5000</v>
      </c>
      <c r="E233">
        <v>4615.93</v>
      </c>
      <c r="H233">
        <f>SUMIF($F$2:$F$552,A233,$G$2:$G$552)</f>
        <v>0</v>
      </c>
      <c r="I233" t="s">
        <v>478</v>
      </c>
      <c r="K233" t="s">
        <v>14</v>
      </c>
    </row>
    <row r="234" spans="1:11" x14ac:dyDescent="0.25">
      <c r="A234" t="s">
        <v>14</v>
      </c>
      <c r="B234" s="4">
        <v>45715</v>
      </c>
      <c r="C234" t="s">
        <v>254</v>
      </c>
      <c r="D234">
        <v>100.06</v>
      </c>
      <c r="E234">
        <v>4715.99</v>
      </c>
      <c r="F234" t="s">
        <v>14</v>
      </c>
      <c r="G234">
        <f>VALUE(D234)</f>
        <v>100.06</v>
      </c>
      <c r="H234">
        <f>SUMIF($F$2:$F$552,A234,$G$2:$G$552)</f>
        <v>2821.3799999999992</v>
      </c>
      <c r="I234" t="s">
        <v>475</v>
      </c>
    </row>
    <row r="235" spans="1:11" x14ac:dyDescent="0.25">
      <c r="A235" t="s">
        <v>24</v>
      </c>
      <c r="B235" s="4">
        <v>45716</v>
      </c>
      <c r="C235" t="s">
        <v>255</v>
      </c>
      <c r="D235">
        <v>100.09</v>
      </c>
      <c r="E235">
        <v>4816.08</v>
      </c>
      <c r="F235" t="s">
        <v>24</v>
      </c>
      <c r="G235">
        <f>VALUE(D235)</f>
        <v>100.09</v>
      </c>
      <c r="H235">
        <f>SUMIF($F$2:$F$552,A235,$G$2:$G$552)</f>
        <v>4003.3300000000022</v>
      </c>
      <c r="I235" t="s">
        <v>475</v>
      </c>
    </row>
    <row r="236" spans="1:11" x14ac:dyDescent="0.25">
      <c r="B236" s="3"/>
    </row>
    <row r="237" spans="1:11" x14ac:dyDescent="0.25">
      <c r="B237" s="3"/>
    </row>
    <row r="238" spans="1:11" x14ac:dyDescent="0.25">
      <c r="B238" s="4">
        <v>45717</v>
      </c>
      <c r="C238" t="s">
        <v>256</v>
      </c>
      <c r="E238">
        <v>4816.08</v>
      </c>
    </row>
    <row r="239" spans="1:11" x14ac:dyDescent="0.25">
      <c r="A239" t="s">
        <v>19</v>
      </c>
      <c r="B239" s="4">
        <v>45720</v>
      </c>
      <c r="C239" t="s">
        <v>257</v>
      </c>
      <c r="D239">
        <v>600</v>
      </c>
      <c r="E239">
        <v>5416.08</v>
      </c>
      <c r="G239">
        <f t="shared" ref="G239:G259" si="17">VALUE(D239)</f>
        <v>600</v>
      </c>
      <c r="H239">
        <f>SUMIF($F$2:$F$552,A239,$G$2:$G$552)</f>
        <v>4400.2000000000007</v>
      </c>
      <c r="I239" t="s">
        <v>476</v>
      </c>
      <c r="K239" t="s">
        <v>19</v>
      </c>
    </row>
    <row r="240" spans="1:11" x14ac:dyDescent="0.25">
      <c r="A240" t="s">
        <v>222</v>
      </c>
      <c r="B240" s="4">
        <v>45720</v>
      </c>
      <c r="C240" t="s">
        <v>258</v>
      </c>
      <c r="D240">
        <v>300.14999999999998</v>
      </c>
      <c r="E240">
        <v>5716.23</v>
      </c>
      <c r="F240" t="s">
        <v>222</v>
      </c>
      <c r="G240">
        <f t="shared" si="17"/>
        <v>300.14999999999998</v>
      </c>
      <c r="H240">
        <f>SUMIF($F$2:$F$552,A240,$G$2:$G$552)</f>
        <v>2717.5000000000005</v>
      </c>
      <c r="I240" t="s">
        <v>475</v>
      </c>
    </row>
    <row r="241" spans="1:11" x14ac:dyDescent="0.25">
      <c r="A241" t="s">
        <v>259</v>
      </c>
      <c r="B241" s="4">
        <v>45726</v>
      </c>
      <c r="C241" t="s">
        <v>260</v>
      </c>
      <c r="D241">
        <v>700</v>
      </c>
      <c r="E241">
        <v>6416.23</v>
      </c>
      <c r="F241" t="s">
        <v>259</v>
      </c>
      <c r="G241">
        <f t="shared" si="17"/>
        <v>700</v>
      </c>
      <c r="H241">
        <f>SUMIF($F$2:$F$552,A241,$G$2:$G$552)</f>
        <v>800</v>
      </c>
      <c r="I241" t="s">
        <v>475</v>
      </c>
    </row>
    <row r="242" spans="1:11" x14ac:dyDescent="0.25">
      <c r="A242" t="s">
        <v>42</v>
      </c>
      <c r="B242" s="4">
        <v>45726</v>
      </c>
      <c r="C242" t="s">
        <v>261</v>
      </c>
      <c r="D242">
        <v>150</v>
      </c>
      <c r="E242">
        <v>6566.23</v>
      </c>
      <c r="F242" t="s">
        <v>42</v>
      </c>
      <c r="G242">
        <f t="shared" si="17"/>
        <v>150</v>
      </c>
      <c r="H242">
        <f>SUMIF($F$2:$F$552,A242,$G$2:$G$552)</f>
        <v>3400.06</v>
      </c>
      <c r="I242" t="s">
        <v>475</v>
      </c>
    </row>
    <row r="243" spans="1:11" x14ac:dyDescent="0.25">
      <c r="A243" t="s">
        <v>68</v>
      </c>
      <c r="B243" s="4">
        <v>45726</v>
      </c>
      <c r="C243" t="s">
        <v>262</v>
      </c>
      <c r="D243">
        <v>100.13</v>
      </c>
      <c r="E243">
        <v>6666.36</v>
      </c>
      <c r="F243" t="s">
        <v>68</v>
      </c>
      <c r="G243">
        <f t="shared" si="17"/>
        <v>100.13</v>
      </c>
      <c r="H243">
        <f>SUMIF($F$2:$F$552,A243,$G$2:$G$552)</f>
        <v>3804.9400000000028</v>
      </c>
      <c r="I243" t="s">
        <v>475</v>
      </c>
    </row>
    <row r="244" spans="1:11" x14ac:dyDescent="0.25">
      <c r="A244" t="s">
        <v>241</v>
      </c>
      <c r="B244" s="4">
        <v>45726</v>
      </c>
      <c r="C244" t="s">
        <v>263</v>
      </c>
      <c r="D244">
        <v>100</v>
      </c>
      <c r="E244">
        <v>6766.36</v>
      </c>
      <c r="F244" t="s">
        <v>241</v>
      </c>
      <c r="G244">
        <f t="shared" si="17"/>
        <v>100</v>
      </c>
      <c r="H244">
        <f>SUMIF($F$2:$F$552,A244,$G$2:$G$552)</f>
        <v>590</v>
      </c>
      <c r="I244" t="s">
        <v>475</v>
      </c>
    </row>
    <row r="245" spans="1:11" x14ac:dyDescent="0.25">
      <c r="A245" t="s">
        <v>33</v>
      </c>
      <c r="B245" s="4">
        <v>45730</v>
      </c>
      <c r="C245" t="s">
        <v>264</v>
      </c>
      <c r="D245">
        <v>50.07</v>
      </c>
      <c r="E245">
        <v>6816.43</v>
      </c>
      <c r="F245" t="s">
        <v>33</v>
      </c>
      <c r="G245">
        <f t="shared" si="17"/>
        <v>50.07</v>
      </c>
      <c r="H245">
        <f>SUMIF($F$2:$F$552,A245,$G$2:$G$552)</f>
        <v>2452.5199999999995</v>
      </c>
      <c r="I245" t="s">
        <v>475</v>
      </c>
    </row>
    <row r="246" spans="1:11" x14ac:dyDescent="0.25">
      <c r="B246" s="4">
        <v>45730</v>
      </c>
      <c r="C246" t="s">
        <v>265</v>
      </c>
      <c r="D246">
        <v>-300</v>
      </c>
      <c r="E246">
        <v>6516.43</v>
      </c>
      <c r="G246">
        <f t="shared" si="17"/>
        <v>-300</v>
      </c>
      <c r="H246">
        <f>SUMIF($F$2:$F$552,A246,$G$2:$G$552)</f>
        <v>0</v>
      </c>
      <c r="I246" t="s">
        <v>480</v>
      </c>
    </row>
    <row r="247" spans="1:11" x14ac:dyDescent="0.25">
      <c r="B247" s="4">
        <v>45730</v>
      </c>
      <c r="C247" t="s">
        <v>266</v>
      </c>
      <c r="D247">
        <v>-100</v>
      </c>
      <c r="E247">
        <v>6416.43</v>
      </c>
      <c r="G247">
        <f t="shared" si="17"/>
        <v>-100</v>
      </c>
      <c r="H247">
        <f>SUMIF($F$2:$F$552,A247,$G$2:$G$552)</f>
        <v>0</v>
      </c>
      <c r="I247" t="s">
        <v>484</v>
      </c>
      <c r="J247" t="s">
        <v>482</v>
      </c>
    </row>
    <row r="248" spans="1:11" x14ac:dyDescent="0.25">
      <c r="B248" s="4">
        <v>45733</v>
      </c>
      <c r="C248" t="s">
        <v>267</v>
      </c>
      <c r="D248">
        <v>450</v>
      </c>
      <c r="E248">
        <v>6866.43</v>
      </c>
      <c r="G248">
        <f t="shared" si="17"/>
        <v>450</v>
      </c>
      <c r="H248">
        <f>SUMIF($F$2:$F$552,A248,$G$2:$G$552)</f>
        <v>0</v>
      </c>
      <c r="I248" t="s">
        <v>476</v>
      </c>
      <c r="K248" t="s">
        <v>14</v>
      </c>
    </row>
    <row r="249" spans="1:11" x14ac:dyDescent="0.25">
      <c r="B249" s="4">
        <v>45733</v>
      </c>
      <c r="C249" t="s">
        <v>268</v>
      </c>
      <c r="D249">
        <v>317.60000000000002</v>
      </c>
      <c r="E249">
        <v>7184.03</v>
      </c>
      <c r="G249">
        <f t="shared" si="17"/>
        <v>317.60000000000002</v>
      </c>
      <c r="H249">
        <f>SUMIF($F$2:$F$552,A249,$G$2:$G$552)</f>
        <v>0</v>
      </c>
      <c r="I249" t="s">
        <v>476</v>
      </c>
      <c r="K249" s="7" t="s">
        <v>68</v>
      </c>
    </row>
    <row r="250" spans="1:11" x14ac:dyDescent="0.25">
      <c r="A250" t="s">
        <v>73</v>
      </c>
      <c r="B250" s="4">
        <v>45733</v>
      </c>
      <c r="C250" t="s">
        <v>269</v>
      </c>
      <c r="D250">
        <v>100.04</v>
      </c>
      <c r="E250">
        <v>7284.07</v>
      </c>
      <c r="F250" t="s">
        <v>73</v>
      </c>
      <c r="G250">
        <f t="shared" si="17"/>
        <v>100.04</v>
      </c>
      <c r="H250">
        <f>SUMIF($F$2:$F$552,A250,$G$2:$G$552)</f>
        <v>2400.8399999999997</v>
      </c>
      <c r="I250" t="s">
        <v>475</v>
      </c>
    </row>
    <row r="251" spans="1:11" x14ac:dyDescent="0.25">
      <c r="A251" t="s">
        <v>270</v>
      </c>
      <c r="B251" s="4">
        <v>45733</v>
      </c>
      <c r="C251" t="s">
        <v>271</v>
      </c>
      <c r="D251">
        <v>100</v>
      </c>
      <c r="E251">
        <v>7384.07</v>
      </c>
      <c r="F251" t="s">
        <v>270</v>
      </c>
      <c r="G251">
        <f t="shared" si="17"/>
        <v>100</v>
      </c>
      <c r="H251">
        <f>SUMIF($F$2:$F$552,A251,$G$2:$G$552)</f>
        <v>750</v>
      </c>
      <c r="I251" t="s">
        <v>475</v>
      </c>
    </row>
    <row r="252" spans="1:11" x14ac:dyDescent="0.25">
      <c r="A252" t="s">
        <v>5</v>
      </c>
      <c r="B252" s="4">
        <v>45733</v>
      </c>
      <c r="C252" t="s">
        <v>65</v>
      </c>
      <c r="D252">
        <v>50.02</v>
      </c>
      <c r="E252">
        <v>7434.09</v>
      </c>
      <c r="F252" t="s">
        <v>5</v>
      </c>
      <c r="G252">
        <f t="shared" si="17"/>
        <v>50.02</v>
      </c>
      <c r="H252">
        <f>SUMIF($F$2:$F$552,A252,$G$2:$G$552)</f>
        <v>2700.7599999999998</v>
      </c>
      <c r="I252" t="s">
        <v>475</v>
      </c>
    </row>
    <row r="253" spans="1:11" x14ac:dyDescent="0.25">
      <c r="B253" s="4">
        <v>45733</v>
      </c>
      <c r="C253" t="s">
        <v>272</v>
      </c>
      <c r="D253">
        <v>-20</v>
      </c>
      <c r="E253">
        <v>7414.09</v>
      </c>
      <c r="G253">
        <f t="shared" si="17"/>
        <v>-20</v>
      </c>
      <c r="H253">
        <f>SUMIF($F$2:$F$552,A253,$G$2:$G$552)</f>
        <v>0</v>
      </c>
      <c r="I253" t="s">
        <v>480</v>
      </c>
      <c r="J253" t="s">
        <v>483</v>
      </c>
    </row>
    <row r="254" spans="1:11" x14ac:dyDescent="0.25">
      <c r="B254" s="4">
        <v>45733</v>
      </c>
      <c r="C254" t="s">
        <v>273</v>
      </c>
      <c r="D254">
        <v>-120</v>
      </c>
      <c r="E254">
        <v>7294.09</v>
      </c>
      <c r="G254">
        <f t="shared" si="17"/>
        <v>-120</v>
      </c>
      <c r="H254">
        <f>SUMIF($F$2:$F$552,A254,$G$2:$G$552)</f>
        <v>0</v>
      </c>
      <c r="I254" t="s">
        <v>480</v>
      </c>
    </row>
    <row r="255" spans="1:11" x14ac:dyDescent="0.25">
      <c r="A255" t="s">
        <v>28</v>
      </c>
      <c r="B255" s="4">
        <v>45740</v>
      </c>
      <c r="C255" t="s">
        <v>274</v>
      </c>
      <c r="D255">
        <v>100</v>
      </c>
      <c r="E255">
        <v>7394.09</v>
      </c>
      <c r="F255" t="s">
        <v>28</v>
      </c>
      <c r="G255">
        <f t="shared" si="17"/>
        <v>100</v>
      </c>
      <c r="H255">
        <f>SUMIF($F$2:$F$552,A255,$G$2:$G$552)</f>
        <v>2356.04</v>
      </c>
      <c r="I255" t="s">
        <v>475</v>
      </c>
    </row>
    <row r="256" spans="1:11" x14ac:dyDescent="0.25">
      <c r="A256" t="s">
        <v>225</v>
      </c>
      <c r="B256" s="4">
        <v>45741</v>
      </c>
      <c r="C256" t="s">
        <v>226</v>
      </c>
      <c r="D256">
        <v>50.17</v>
      </c>
      <c r="E256">
        <v>7444.26</v>
      </c>
      <c r="F256" t="s">
        <v>225</v>
      </c>
      <c r="G256">
        <f t="shared" si="17"/>
        <v>50.17</v>
      </c>
      <c r="H256">
        <f>SUMIF($F$2:$F$552,A256,$G$2:$G$552)</f>
        <v>902.54999999999984</v>
      </c>
      <c r="I256" t="s">
        <v>475</v>
      </c>
    </row>
    <row r="257" spans="1:11" x14ac:dyDescent="0.25">
      <c r="B257" s="4">
        <v>45741</v>
      </c>
      <c r="C257" t="s">
        <v>275</v>
      </c>
      <c r="D257">
        <v>-109.33</v>
      </c>
      <c r="E257">
        <v>7334.93</v>
      </c>
      <c r="G257">
        <f t="shared" si="17"/>
        <v>-109.33</v>
      </c>
      <c r="H257">
        <f>SUMIF($F$2:$F$552,A257,$G$2:$G$552)</f>
        <v>0</v>
      </c>
      <c r="I257" t="s">
        <v>480</v>
      </c>
    </row>
    <row r="258" spans="1:11" x14ac:dyDescent="0.25">
      <c r="A258" t="s">
        <v>24</v>
      </c>
      <c r="B258" s="4">
        <v>45744</v>
      </c>
      <c r="C258" t="s">
        <v>276</v>
      </c>
      <c r="D258">
        <v>100.09</v>
      </c>
      <c r="E258">
        <v>7435.02</v>
      </c>
      <c r="F258" t="s">
        <v>24</v>
      </c>
      <c r="G258">
        <f t="shared" si="17"/>
        <v>100.09</v>
      </c>
      <c r="H258">
        <f>SUMIF($F$2:$F$552,A258,$G$2:$G$552)</f>
        <v>4003.3300000000022</v>
      </c>
      <c r="I258" t="s">
        <v>475</v>
      </c>
    </row>
    <row r="259" spans="1:11" x14ac:dyDescent="0.25">
      <c r="A259" t="s">
        <v>14</v>
      </c>
      <c r="B259" s="4">
        <v>45747</v>
      </c>
      <c r="C259" t="s">
        <v>277</v>
      </c>
      <c r="D259">
        <v>70.06</v>
      </c>
      <c r="E259">
        <v>7505.08</v>
      </c>
      <c r="F259" t="s">
        <v>14</v>
      </c>
      <c r="G259">
        <f t="shared" si="17"/>
        <v>70.06</v>
      </c>
      <c r="H259">
        <f>SUMIF($F$2:$F$552,A259,$G$2:$G$552)</f>
        <v>2821.3799999999992</v>
      </c>
      <c r="I259" t="s">
        <v>475</v>
      </c>
    </row>
    <row r="260" spans="1:11" x14ac:dyDescent="0.25">
      <c r="B260" s="3"/>
    </row>
    <row r="261" spans="1:11" x14ac:dyDescent="0.25">
      <c r="B261" s="4">
        <v>45748</v>
      </c>
      <c r="C261" t="s">
        <v>278</v>
      </c>
      <c r="E261">
        <v>7505.08</v>
      </c>
      <c r="G261">
        <f t="shared" ref="G261:G276" si="18">VALUE(D261)</f>
        <v>0</v>
      </c>
      <c r="H261">
        <f>SUMIF($F$2:$F$552,A261,$G$2:$G$552)</f>
        <v>0</v>
      </c>
    </row>
    <row r="262" spans="1:11" x14ac:dyDescent="0.25">
      <c r="B262" s="4">
        <v>45748</v>
      </c>
      <c r="C262" t="s">
        <v>490</v>
      </c>
      <c r="D262">
        <v>-2300</v>
      </c>
      <c r="E262">
        <v>5205.08</v>
      </c>
      <c r="G262">
        <f t="shared" si="18"/>
        <v>-2300</v>
      </c>
      <c r="H262">
        <f>SUMIF($F$2:$F$552,A262,$G$2:$G$552)</f>
        <v>0</v>
      </c>
      <c r="I262" t="s">
        <v>491</v>
      </c>
    </row>
    <row r="263" spans="1:11" x14ac:dyDescent="0.25">
      <c r="B263" s="4">
        <v>45750</v>
      </c>
      <c r="C263" t="s">
        <v>21</v>
      </c>
      <c r="D263">
        <v>600</v>
      </c>
      <c r="E263">
        <v>5805.08</v>
      </c>
      <c r="G263">
        <f t="shared" si="18"/>
        <v>600</v>
      </c>
      <c r="H263">
        <f>SUMIF($F$2:$F$552,A263,$G$2:$G$552)</f>
        <v>0</v>
      </c>
      <c r="I263" t="s">
        <v>476</v>
      </c>
      <c r="K263" t="s">
        <v>19</v>
      </c>
    </row>
    <row r="264" spans="1:11" x14ac:dyDescent="0.25">
      <c r="A264" t="s">
        <v>28</v>
      </c>
      <c r="B264" s="4">
        <v>45754</v>
      </c>
      <c r="C264" t="s">
        <v>279</v>
      </c>
      <c r="D264">
        <v>100</v>
      </c>
      <c r="E264">
        <v>5905.08</v>
      </c>
      <c r="F264" t="s">
        <v>28</v>
      </c>
      <c r="G264">
        <f t="shared" si="18"/>
        <v>100</v>
      </c>
      <c r="H264">
        <f>SUMIF($F$2:$F$552,A264,$G$2:$G$552)</f>
        <v>2356.04</v>
      </c>
      <c r="I264" t="s">
        <v>475</v>
      </c>
    </row>
    <row r="265" spans="1:11" x14ac:dyDescent="0.25">
      <c r="A265" t="s">
        <v>42</v>
      </c>
      <c r="B265" s="4">
        <v>45757</v>
      </c>
      <c r="C265" t="s">
        <v>280</v>
      </c>
      <c r="D265">
        <v>150</v>
      </c>
      <c r="E265">
        <v>6055.08</v>
      </c>
      <c r="F265" t="s">
        <v>42</v>
      </c>
      <c r="G265">
        <f t="shared" si="18"/>
        <v>150</v>
      </c>
      <c r="H265">
        <f>SUMIF($F$2:$F$552,A265,$G$2:$G$552)</f>
        <v>3400.06</v>
      </c>
      <c r="I265" t="s">
        <v>475</v>
      </c>
    </row>
    <row r="266" spans="1:11" x14ac:dyDescent="0.25">
      <c r="A266" t="s">
        <v>68</v>
      </c>
      <c r="B266" s="4">
        <v>45758</v>
      </c>
      <c r="C266" t="s">
        <v>281</v>
      </c>
      <c r="D266">
        <v>100.13</v>
      </c>
      <c r="E266">
        <v>6155.21</v>
      </c>
      <c r="F266" t="s">
        <v>68</v>
      </c>
      <c r="G266">
        <f t="shared" si="18"/>
        <v>100.13</v>
      </c>
      <c r="H266">
        <f>SUMIF($F$2:$F$552,A266,$G$2:$G$552)</f>
        <v>3804.9400000000028</v>
      </c>
      <c r="I266" t="s">
        <v>475</v>
      </c>
    </row>
    <row r="267" spans="1:11" x14ac:dyDescent="0.25">
      <c r="A267" t="s">
        <v>73</v>
      </c>
      <c r="B267" s="4">
        <v>45762</v>
      </c>
      <c r="C267" t="s">
        <v>282</v>
      </c>
      <c r="D267">
        <v>100.04</v>
      </c>
      <c r="E267">
        <v>6255.25</v>
      </c>
      <c r="F267" t="s">
        <v>73</v>
      </c>
      <c r="G267">
        <f t="shared" si="18"/>
        <v>100.04</v>
      </c>
      <c r="H267">
        <f>SUMIF($F$2:$F$552,A267,$G$2:$G$552)</f>
        <v>2400.8399999999997</v>
      </c>
      <c r="I267" t="s">
        <v>475</v>
      </c>
    </row>
    <row r="268" spans="1:11" x14ac:dyDescent="0.25">
      <c r="A268" t="s">
        <v>222</v>
      </c>
      <c r="B268" s="4">
        <v>45763</v>
      </c>
      <c r="C268" t="s">
        <v>283</v>
      </c>
      <c r="D268">
        <v>300.14999999999998</v>
      </c>
      <c r="E268">
        <v>6555.4</v>
      </c>
      <c r="F268" t="s">
        <v>222</v>
      </c>
      <c r="G268">
        <f t="shared" si="18"/>
        <v>300.14999999999998</v>
      </c>
      <c r="H268">
        <f>SUMIF($F$2:$F$552,A268,$G$2:$G$552)</f>
        <v>2717.5000000000005</v>
      </c>
      <c r="I268" t="s">
        <v>475</v>
      </c>
    </row>
    <row r="269" spans="1:11" x14ac:dyDescent="0.25">
      <c r="A269" t="s">
        <v>5</v>
      </c>
      <c r="B269" s="4">
        <v>45763</v>
      </c>
      <c r="C269" t="s">
        <v>65</v>
      </c>
      <c r="D269">
        <v>100.02</v>
      </c>
      <c r="E269">
        <v>6655.42</v>
      </c>
      <c r="F269" t="s">
        <v>5</v>
      </c>
      <c r="G269">
        <f t="shared" si="18"/>
        <v>100.02</v>
      </c>
      <c r="H269">
        <f>SUMIF($F$2:$F$552,A269,$G$2:$G$552)</f>
        <v>2700.7599999999998</v>
      </c>
      <c r="I269" t="s">
        <v>475</v>
      </c>
    </row>
    <row r="270" spans="1:11" x14ac:dyDescent="0.25">
      <c r="A270" t="s">
        <v>225</v>
      </c>
      <c r="B270" s="4">
        <v>45763</v>
      </c>
      <c r="C270" t="s">
        <v>226</v>
      </c>
      <c r="D270">
        <v>50.17</v>
      </c>
      <c r="E270">
        <v>6705.59</v>
      </c>
      <c r="F270" t="s">
        <v>225</v>
      </c>
      <c r="G270">
        <f t="shared" si="18"/>
        <v>50.17</v>
      </c>
      <c r="H270">
        <f>SUMIF($F$2:$F$552,A270,$G$2:$G$552)</f>
        <v>902.54999999999984</v>
      </c>
      <c r="I270" t="s">
        <v>475</v>
      </c>
    </row>
    <row r="271" spans="1:11" x14ac:dyDescent="0.25">
      <c r="A271" t="s">
        <v>270</v>
      </c>
      <c r="B271" s="4">
        <v>45763</v>
      </c>
      <c r="C271" t="s">
        <v>284</v>
      </c>
      <c r="D271">
        <v>50</v>
      </c>
      <c r="E271">
        <v>6755.59</v>
      </c>
      <c r="F271" t="s">
        <v>270</v>
      </c>
      <c r="G271">
        <f t="shared" si="18"/>
        <v>50</v>
      </c>
      <c r="H271">
        <f>SUMIF($F$2:$F$552,A271,$G$2:$G$552)</f>
        <v>750</v>
      </c>
      <c r="I271" t="s">
        <v>475</v>
      </c>
    </row>
    <row r="272" spans="1:11" x14ac:dyDescent="0.25">
      <c r="B272" s="4">
        <v>45764</v>
      </c>
      <c r="C272" t="s">
        <v>285</v>
      </c>
      <c r="D272">
        <v>317.60000000000002</v>
      </c>
      <c r="E272">
        <v>7073.19</v>
      </c>
      <c r="G272">
        <f t="shared" si="18"/>
        <v>317.60000000000002</v>
      </c>
      <c r="H272">
        <f>SUMIF($F$2:$F$552,A272,$G$2:$G$552)</f>
        <v>0</v>
      </c>
      <c r="I272" t="s">
        <v>476</v>
      </c>
      <c r="K272" s="7" t="s">
        <v>68</v>
      </c>
    </row>
    <row r="273" spans="1:11" x14ac:dyDescent="0.25">
      <c r="A273" t="s">
        <v>241</v>
      </c>
      <c r="B273" s="4">
        <v>45770</v>
      </c>
      <c r="C273" t="s">
        <v>286</v>
      </c>
      <c r="D273">
        <v>100</v>
      </c>
      <c r="E273">
        <v>7173.19</v>
      </c>
      <c r="F273" t="s">
        <v>241</v>
      </c>
      <c r="G273">
        <f t="shared" si="18"/>
        <v>100</v>
      </c>
      <c r="H273">
        <f>SUMIF($F$2:$F$552,A273,$G$2:$G$552)</f>
        <v>590</v>
      </c>
      <c r="I273" t="s">
        <v>475</v>
      </c>
    </row>
    <row r="274" spans="1:11" x14ac:dyDescent="0.25">
      <c r="B274" s="4">
        <v>45771</v>
      </c>
      <c r="C274" t="s">
        <v>287</v>
      </c>
      <c r="D274">
        <v>400</v>
      </c>
      <c r="E274">
        <v>7573.19</v>
      </c>
      <c r="G274">
        <f t="shared" si="18"/>
        <v>400</v>
      </c>
      <c r="H274">
        <f>SUMIF($F$2:$F$552,A274,$G$2:$G$552)</f>
        <v>0</v>
      </c>
      <c r="I274" t="s">
        <v>476</v>
      </c>
      <c r="K274" t="s">
        <v>14</v>
      </c>
    </row>
    <row r="275" spans="1:11" x14ac:dyDescent="0.25">
      <c r="A275" t="s">
        <v>24</v>
      </c>
      <c r="B275" s="4">
        <v>45775</v>
      </c>
      <c r="C275" t="s">
        <v>288</v>
      </c>
      <c r="D275">
        <v>100.09</v>
      </c>
      <c r="E275">
        <v>7673.28</v>
      </c>
      <c r="F275" t="s">
        <v>24</v>
      </c>
      <c r="G275">
        <f t="shared" si="18"/>
        <v>100.09</v>
      </c>
      <c r="H275">
        <f>SUMIF($F$2:$F$552,A275,$G$2:$G$552)</f>
        <v>4003.3300000000022</v>
      </c>
      <c r="I275" t="s">
        <v>475</v>
      </c>
    </row>
    <row r="276" spans="1:11" x14ac:dyDescent="0.25">
      <c r="A276" t="s">
        <v>33</v>
      </c>
      <c r="B276" s="3">
        <v>45777</v>
      </c>
      <c r="D276">
        <v>50.07</v>
      </c>
      <c r="E276">
        <f>E275+D276</f>
        <v>7723.3499999999995</v>
      </c>
      <c r="F276" t="s">
        <v>33</v>
      </c>
      <c r="G276">
        <f t="shared" si="18"/>
        <v>50.07</v>
      </c>
      <c r="H276">
        <f>SUMIF($F$2:$F$552,A276,$G$2:$G$552)</f>
        <v>2452.5199999999995</v>
      </c>
      <c r="I276" t="s">
        <v>475</v>
      </c>
    </row>
    <row r="277" spans="1:11" x14ac:dyDescent="0.25">
      <c r="B277" s="3"/>
    </row>
    <row r="278" spans="1:11" x14ac:dyDescent="0.25">
      <c r="B278" s="4">
        <v>45778</v>
      </c>
      <c r="C278" t="s">
        <v>289</v>
      </c>
      <c r="E278">
        <v>7773.41</v>
      </c>
      <c r="G278">
        <f t="shared" ref="G278:G289" si="19">VALUE(D278)</f>
        <v>0</v>
      </c>
      <c r="H278">
        <f>SUMIF($F$2:$F$552,A278,$G$2:$G$552)</f>
        <v>0</v>
      </c>
    </row>
    <row r="279" spans="1:11" x14ac:dyDescent="0.25">
      <c r="A279" t="s">
        <v>259</v>
      </c>
      <c r="B279" s="4">
        <v>45778</v>
      </c>
      <c r="C279" t="s">
        <v>290</v>
      </c>
      <c r="D279">
        <v>100</v>
      </c>
      <c r="E279">
        <v>7873.41</v>
      </c>
      <c r="F279" t="s">
        <v>259</v>
      </c>
      <c r="G279">
        <f t="shared" si="19"/>
        <v>100</v>
      </c>
      <c r="H279">
        <f>SUMIF($F$2:$F$552,A279,$G$2:$G$552)</f>
        <v>800</v>
      </c>
      <c r="I279" t="s">
        <v>475</v>
      </c>
    </row>
    <row r="280" spans="1:11" x14ac:dyDescent="0.25">
      <c r="A280" t="s">
        <v>270</v>
      </c>
      <c r="B280" s="4">
        <v>45782</v>
      </c>
      <c r="C280" t="s">
        <v>291</v>
      </c>
      <c r="D280">
        <v>50</v>
      </c>
      <c r="E280">
        <v>7923.41</v>
      </c>
      <c r="F280" t="s">
        <v>270</v>
      </c>
      <c r="G280">
        <f t="shared" si="19"/>
        <v>50</v>
      </c>
      <c r="H280">
        <f>SUMIF($F$2:$F$552,A280,$G$2:$G$552)</f>
        <v>750</v>
      </c>
      <c r="I280" t="s">
        <v>475</v>
      </c>
    </row>
    <row r="281" spans="1:11" x14ac:dyDescent="0.25">
      <c r="B281" s="4">
        <v>45783</v>
      </c>
      <c r="C281" t="s">
        <v>292</v>
      </c>
      <c r="D281">
        <v>600</v>
      </c>
      <c r="E281">
        <v>8523.41</v>
      </c>
      <c r="G281">
        <f t="shared" si="19"/>
        <v>600</v>
      </c>
      <c r="H281">
        <f>SUMIF($F$2:$F$552,A281,$G$2:$G$552)</f>
        <v>0</v>
      </c>
      <c r="I281" t="s">
        <v>476</v>
      </c>
      <c r="K281" t="s">
        <v>19</v>
      </c>
    </row>
    <row r="282" spans="1:11" x14ac:dyDescent="0.25">
      <c r="A282" t="s">
        <v>222</v>
      </c>
      <c r="B282" s="4">
        <v>45784</v>
      </c>
      <c r="C282" t="s">
        <v>293</v>
      </c>
      <c r="D282">
        <v>300.14999999999998</v>
      </c>
      <c r="E282">
        <v>8823.56</v>
      </c>
      <c r="F282" t="s">
        <v>222</v>
      </c>
      <c r="G282">
        <f t="shared" si="19"/>
        <v>300.14999999999998</v>
      </c>
      <c r="H282">
        <f>SUMIF($F$2:$F$552,A282,$G$2:$G$552)</f>
        <v>2717.5000000000005</v>
      </c>
      <c r="I282" t="s">
        <v>475</v>
      </c>
    </row>
    <row r="283" spans="1:11" x14ac:dyDescent="0.25">
      <c r="A283" t="s">
        <v>68</v>
      </c>
      <c r="B283" s="4">
        <v>45786</v>
      </c>
      <c r="C283" t="s">
        <v>294</v>
      </c>
      <c r="D283">
        <v>100.13</v>
      </c>
      <c r="E283">
        <v>8923.69</v>
      </c>
      <c r="F283" t="s">
        <v>68</v>
      </c>
      <c r="G283">
        <f t="shared" si="19"/>
        <v>100.13</v>
      </c>
      <c r="H283">
        <f>SUMIF($F$2:$F$552,A283,$G$2:$G$552)</f>
        <v>3804.9400000000028</v>
      </c>
      <c r="I283" t="s">
        <v>475</v>
      </c>
    </row>
    <row r="284" spans="1:11" x14ac:dyDescent="0.25">
      <c r="A284" t="s">
        <v>42</v>
      </c>
      <c r="B284" s="4">
        <v>45789</v>
      </c>
      <c r="C284" t="s">
        <v>295</v>
      </c>
      <c r="D284">
        <v>150</v>
      </c>
      <c r="E284">
        <v>9073.69</v>
      </c>
      <c r="F284" t="s">
        <v>42</v>
      </c>
      <c r="G284">
        <f t="shared" si="19"/>
        <v>150</v>
      </c>
      <c r="H284">
        <f>SUMIF($F$2:$F$552,A284,$G$2:$G$552)</f>
        <v>3400.06</v>
      </c>
      <c r="I284" t="s">
        <v>475</v>
      </c>
    </row>
    <row r="285" spans="1:11" x14ac:dyDescent="0.25">
      <c r="A285" t="s">
        <v>73</v>
      </c>
      <c r="B285" s="4">
        <v>45792</v>
      </c>
      <c r="C285" t="s">
        <v>296</v>
      </c>
      <c r="D285">
        <v>100.04</v>
      </c>
      <c r="E285">
        <v>9173.73</v>
      </c>
      <c r="F285" t="s">
        <v>73</v>
      </c>
      <c r="G285">
        <f t="shared" si="19"/>
        <v>100.04</v>
      </c>
      <c r="H285">
        <f>SUMIF($F$2:$F$552,A285,$G$2:$G$552)</f>
        <v>2400.8399999999997</v>
      </c>
      <c r="I285" t="s">
        <v>475</v>
      </c>
    </row>
    <row r="286" spans="1:11" x14ac:dyDescent="0.25">
      <c r="B286" s="4">
        <v>45793</v>
      </c>
      <c r="C286" t="s">
        <v>297</v>
      </c>
      <c r="D286">
        <v>317.60000000000002</v>
      </c>
      <c r="E286">
        <v>9491.33</v>
      </c>
      <c r="G286">
        <f t="shared" si="19"/>
        <v>317.60000000000002</v>
      </c>
      <c r="H286">
        <f>SUMIF($F$2:$F$552,A286,$G$2:$G$552)</f>
        <v>0</v>
      </c>
      <c r="I286" t="s">
        <v>476</v>
      </c>
      <c r="K286" s="7" t="s">
        <v>68</v>
      </c>
    </row>
    <row r="287" spans="1:11" x14ac:dyDescent="0.25">
      <c r="A287" t="s">
        <v>5</v>
      </c>
      <c r="B287" s="4">
        <v>45793</v>
      </c>
      <c r="C287" t="s">
        <v>65</v>
      </c>
      <c r="D287">
        <v>100.02</v>
      </c>
      <c r="E287">
        <v>9591.35</v>
      </c>
      <c r="F287" t="s">
        <v>5</v>
      </c>
      <c r="G287">
        <f t="shared" si="19"/>
        <v>100.02</v>
      </c>
      <c r="H287">
        <f>SUMIF($F$2:$F$552,A287,$G$2:$G$552)</f>
        <v>2700.7599999999998</v>
      </c>
      <c r="I287" t="s">
        <v>475</v>
      </c>
    </row>
    <row r="288" spans="1:11" x14ac:dyDescent="0.25">
      <c r="A288" t="s">
        <v>225</v>
      </c>
      <c r="B288" s="4">
        <v>45797</v>
      </c>
      <c r="C288" t="s">
        <v>226</v>
      </c>
      <c r="D288">
        <v>50.17</v>
      </c>
      <c r="E288">
        <v>9641.52</v>
      </c>
      <c r="F288" t="s">
        <v>225</v>
      </c>
      <c r="G288">
        <f t="shared" si="19"/>
        <v>50.17</v>
      </c>
      <c r="H288">
        <f>SUMIF($F$2:$F$552,A288,$G$2:$G$552)</f>
        <v>902.54999999999984</v>
      </c>
      <c r="I288" t="s">
        <v>475</v>
      </c>
    </row>
    <row r="289" spans="1:11" x14ac:dyDescent="0.25">
      <c r="A289" t="s">
        <v>24</v>
      </c>
      <c r="B289" s="4">
        <v>45805</v>
      </c>
      <c r="C289" t="s">
        <v>298</v>
      </c>
      <c r="D289">
        <v>100.09</v>
      </c>
      <c r="E289">
        <v>9741.61</v>
      </c>
      <c r="F289" t="s">
        <v>24</v>
      </c>
      <c r="G289">
        <f t="shared" si="19"/>
        <v>100.09</v>
      </c>
      <c r="H289">
        <f>SUMIF($F$2:$F$552,A289,$G$2:$G$552)</f>
        <v>4003.3300000000022</v>
      </c>
      <c r="I289" t="s">
        <v>475</v>
      </c>
    </row>
    <row r="290" spans="1:11" x14ac:dyDescent="0.25">
      <c r="B290" s="3"/>
    </row>
    <row r="291" spans="1:11" x14ac:dyDescent="0.25">
      <c r="B291" s="3"/>
    </row>
    <row r="292" spans="1:11" x14ac:dyDescent="0.25">
      <c r="B292" s="4">
        <v>45810</v>
      </c>
      <c r="C292" t="s">
        <v>299</v>
      </c>
      <c r="D292">
        <v>450</v>
      </c>
      <c r="E292">
        <v>10191.61</v>
      </c>
      <c r="G292">
        <f t="shared" ref="G292:G307" si="20">VALUE(D292)</f>
        <v>450</v>
      </c>
      <c r="H292">
        <f>SUMIF($F$2:$F$552,A292,$G$2:$G$552)</f>
        <v>0</v>
      </c>
      <c r="I292" t="s">
        <v>476</v>
      </c>
      <c r="K292" t="s">
        <v>14</v>
      </c>
    </row>
    <row r="293" spans="1:11" x14ac:dyDescent="0.25">
      <c r="A293" t="s">
        <v>33</v>
      </c>
      <c r="B293" s="4">
        <v>45810</v>
      </c>
      <c r="C293" t="s">
        <v>300</v>
      </c>
      <c r="D293">
        <v>100.07</v>
      </c>
      <c r="E293">
        <v>10291.68</v>
      </c>
      <c r="F293" t="s">
        <v>33</v>
      </c>
      <c r="G293">
        <f t="shared" si="20"/>
        <v>100.07</v>
      </c>
      <c r="H293">
        <f>SUMIF($F$2:$F$552,A293,$G$2:$G$552)</f>
        <v>2452.5199999999995</v>
      </c>
      <c r="I293" t="s">
        <v>475</v>
      </c>
    </row>
    <row r="294" spans="1:11" x14ac:dyDescent="0.25">
      <c r="A294" t="s">
        <v>270</v>
      </c>
      <c r="B294" s="4">
        <v>45811</v>
      </c>
      <c r="C294" t="s">
        <v>301</v>
      </c>
      <c r="D294">
        <v>50</v>
      </c>
      <c r="E294">
        <v>10341.68</v>
      </c>
      <c r="F294" t="s">
        <v>270</v>
      </c>
      <c r="G294">
        <f t="shared" si="20"/>
        <v>50</v>
      </c>
      <c r="H294">
        <f>SUMIF($F$2:$F$552,A294,$G$2:$G$552)</f>
        <v>750</v>
      </c>
      <c r="I294" t="s">
        <v>475</v>
      </c>
    </row>
    <row r="295" spans="1:11" x14ac:dyDescent="0.25">
      <c r="B295" s="4">
        <v>45812</v>
      </c>
      <c r="C295" t="s">
        <v>302</v>
      </c>
      <c r="D295">
        <v>600</v>
      </c>
      <c r="E295">
        <v>10941.68</v>
      </c>
      <c r="G295">
        <f t="shared" si="20"/>
        <v>600</v>
      </c>
      <c r="H295">
        <f>SUMIF($F$2:$F$552,A295,$G$2:$G$552)</f>
        <v>0</v>
      </c>
      <c r="I295" t="s">
        <v>476</v>
      </c>
      <c r="K295" t="s">
        <v>19</v>
      </c>
    </row>
    <row r="296" spans="1:11" x14ac:dyDescent="0.25">
      <c r="A296" t="s">
        <v>28</v>
      </c>
      <c r="B296" s="4">
        <v>45813</v>
      </c>
      <c r="C296" t="s">
        <v>303</v>
      </c>
      <c r="D296">
        <v>100</v>
      </c>
      <c r="E296">
        <v>11041.68</v>
      </c>
      <c r="F296" t="s">
        <v>28</v>
      </c>
      <c r="G296">
        <f t="shared" si="20"/>
        <v>100</v>
      </c>
      <c r="H296">
        <f>SUMIF($F$2:$F$552,A296,$G$2:$G$552)</f>
        <v>2356.04</v>
      </c>
      <c r="I296" t="s">
        <v>475</v>
      </c>
    </row>
    <row r="297" spans="1:11" x14ac:dyDescent="0.25">
      <c r="A297" t="s">
        <v>225</v>
      </c>
      <c r="B297" s="4">
        <v>45814</v>
      </c>
      <c r="C297" t="s">
        <v>226</v>
      </c>
      <c r="D297">
        <v>50.17</v>
      </c>
      <c r="E297">
        <v>11091.85</v>
      </c>
      <c r="F297" t="s">
        <v>225</v>
      </c>
      <c r="G297">
        <f t="shared" si="20"/>
        <v>50.17</v>
      </c>
      <c r="H297">
        <f>SUMIF($F$2:$F$552,A297,$G$2:$G$552)</f>
        <v>902.54999999999984</v>
      </c>
      <c r="I297" t="s">
        <v>475</v>
      </c>
    </row>
    <row r="298" spans="1:11" x14ac:dyDescent="0.25">
      <c r="A298" t="s">
        <v>222</v>
      </c>
      <c r="B298" s="4">
        <v>45817</v>
      </c>
      <c r="C298" t="s">
        <v>304</v>
      </c>
      <c r="D298">
        <v>300.14999999999998</v>
      </c>
      <c r="E298">
        <v>11392</v>
      </c>
      <c r="F298" t="s">
        <v>222</v>
      </c>
      <c r="G298">
        <f t="shared" si="20"/>
        <v>300.14999999999998</v>
      </c>
      <c r="H298">
        <f>SUMIF($F$2:$F$552,A298,$G$2:$G$552)</f>
        <v>2717.5000000000005</v>
      </c>
      <c r="I298" t="s">
        <v>475</v>
      </c>
    </row>
    <row r="299" spans="1:11" x14ac:dyDescent="0.25">
      <c r="A299" t="s">
        <v>68</v>
      </c>
      <c r="B299" s="4">
        <v>45817</v>
      </c>
      <c r="C299" t="s">
        <v>305</v>
      </c>
      <c r="D299">
        <v>100.13</v>
      </c>
      <c r="E299">
        <v>11492.13</v>
      </c>
      <c r="F299" t="s">
        <v>68</v>
      </c>
      <c r="G299">
        <f t="shared" si="20"/>
        <v>100.13</v>
      </c>
      <c r="H299">
        <f>SUMIF($F$2:$F$552,A299,$G$2:$G$552)</f>
        <v>3804.9400000000028</v>
      </c>
      <c r="I299" t="s">
        <v>475</v>
      </c>
    </row>
    <row r="300" spans="1:11" x14ac:dyDescent="0.25">
      <c r="A300" t="s">
        <v>42</v>
      </c>
      <c r="B300" s="4">
        <v>45818</v>
      </c>
      <c r="C300" t="s">
        <v>306</v>
      </c>
      <c r="D300">
        <v>150</v>
      </c>
      <c r="E300">
        <v>11642.13</v>
      </c>
      <c r="F300" t="s">
        <v>42</v>
      </c>
      <c r="G300">
        <f t="shared" si="20"/>
        <v>150</v>
      </c>
      <c r="H300">
        <f>SUMIF($F$2:$F$552,A300,$G$2:$G$552)</f>
        <v>3400.06</v>
      </c>
      <c r="I300" t="s">
        <v>475</v>
      </c>
    </row>
    <row r="301" spans="1:11" x14ac:dyDescent="0.25">
      <c r="A301" t="s">
        <v>73</v>
      </c>
      <c r="B301" s="4">
        <v>45824</v>
      </c>
      <c r="C301" t="s">
        <v>307</v>
      </c>
      <c r="D301">
        <v>100.04</v>
      </c>
      <c r="E301">
        <v>11742.17</v>
      </c>
      <c r="F301" t="s">
        <v>73</v>
      </c>
      <c r="G301">
        <f t="shared" si="20"/>
        <v>100.04</v>
      </c>
      <c r="H301">
        <f>SUMIF($F$2:$F$552,A301,$G$2:$G$552)</f>
        <v>2400.8399999999997</v>
      </c>
      <c r="I301" t="s">
        <v>475</v>
      </c>
    </row>
    <row r="302" spans="1:11" x14ac:dyDescent="0.25">
      <c r="A302" t="s">
        <v>5</v>
      </c>
      <c r="B302" s="4">
        <v>45824</v>
      </c>
      <c r="C302" t="s">
        <v>65</v>
      </c>
      <c r="D302">
        <v>100.02</v>
      </c>
      <c r="E302">
        <v>11842.19</v>
      </c>
      <c r="F302" t="s">
        <v>5</v>
      </c>
      <c r="G302">
        <f t="shared" si="20"/>
        <v>100.02</v>
      </c>
      <c r="H302">
        <f>SUMIF($F$2:$F$552,A302,$G$2:$G$552)</f>
        <v>2700.7599999999998</v>
      </c>
      <c r="I302" t="s">
        <v>475</v>
      </c>
    </row>
    <row r="303" spans="1:11" x14ac:dyDescent="0.25">
      <c r="A303" t="s">
        <v>270</v>
      </c>
      <c r="B303" s="4">
        <v>45824</v>
      </c>
      <c r="C303" t="s">
        <v>308</v>
      </c>
      <c r="D303">
        <v>50</v>
      </c>
      <c r="E303">
        <v>11892.19</v>
      </c>
      <c r="F303" t="s">
        <v>270</v>
      </c>
      <c r="G303">
        <f t="shared" si="20"/>
        <v>50</v>
      </c>
      <c r="H303">
        <f>SUMIF($F$2:$F$552,A303,$G$2:$G$552)</f>
        <v>750</v>
      </c>
      <c r="I303" t="s">
        <v>475</v>
      </c>
    </row>
    <row r="304" spans="1:11" x14ac:dyDescent="0.25">
      <c r="B304" s="4">
        <v>45828</v>
      </c>
      <c r="C304" t="s">
        <v>309</v>
      </c>
      <c r="D304">
        <v>317.60000000000002</v>
      </c>
      <c r="E304">
        <v>12209.79</v>
      </c>
      <c r="G304">
        <f t="shared" si="20"/>
        <v>317.60000000000002</v>
      </c>
      <c r="H304">
        <f>SUMIF($F$2:$F$552,A304,$G$2:$G$552)</f>
        <v>0</v>
      </c>
      <c r="I304" t="s">
        <v>476</v>
      </c>
      <c r="K304" s="7" t="s">
        <v>68</v>
      </c>
    </row>
    <row r="305" spans="1:11" x14ac:dyDescent="0.25">
      <c r="B305" s="4">
        <v>45831</v>
      </c>
      <c r="C305" t="s">
        <v>310</v>
      </c>
      <c r="D305">
        <v>450</v>
      </c>
      <c r="E305">
        <v>12659.79</v>
      </c>
      <c r="G305">
        <f t="shared" si="20"/>
        <v>450</v>
      </c>
      <c r="H305">
        <f>SUMIF($F$2:$F$552,A305,$G$2:$G$552)</f>
        <v>0</v>
      </c>
      <c r="I305" t="s">
        <v>476</v>
      </c>
      <c r="K305" t="s">
        <v>14</v>
      </c>
    </row>
    <row r="306" spans="1:11" x14ac:dyDescent="0.25">
      <c r="B306" s="4">
        <v>45838</v>
      </c>
      <c r="C306" t="s">
        <v>311</v>
      </c>
      <c r="D306">
        <v>600</v>
      </c>
      <c r="E306">
        <v>13259.79</v>
      </c>
      <c r="G306">
        <f t="shared" si="20"/>
        <v>600</v>
      </c>
      <c r="H306">
        <f>SUMIF($F$2:$F$552,A306,$G$2:$G$552)</f>
        <v>0</v>
      </c>
      <c r="I306" t="s">
        <v>476</v>
      </c>
      <c r="K306" t="s">
        <v>19</v>
      </c>
    </row>
    <row r="307" spans="1:11" x14ac:dyDescent="0.25">
      <c r="A307" t="s">
        <v>24</v>
      </c>
      <c r="B307" s="4">
        <v>45838</v>
      </c>
      <c r="C307" t="s">
        <v>312</v>
      </c>
      <c r="D307">
        <v>100.09</v>
      </c>
      <c r="E307">
        <v>13359.88</v>
      </c>
      <c r="F307" t="s">
        <v>24</v>
      </c>
      <c r="G307">
        <f t="shared" si="20"/>
        <v>100.09</v>
      </c>
      <c r="H307">
        <f>SUMIF($F$2:$F$552,A307,$G$2:$G$552)</f>
        <v>4003.3300000000022</v>
      </c>
      <c r="I307" t="s">
        <v>475</v>
      </c>
    </row>
    <row r="308" spans="1:11" x14ac:dyDescent="0.25">
      <c r="B308" s="3"/>
    </row>
    <row r="309" spans="1:11" x14ac:dyDescent="0.25">
      <c r="B309" s="3"/>
    </row>
    <row r="310" spans="1:11" x14ac:dyDescent="0.25">
      <c r="B310" s="4">
        <v>45839</v>
      </c>
      <c r="C310" t="s">
        <v>313</v>
      </c>
      <c r="E310">
        <v>13359.88</v>
      </c>
      <c r="G310">
        <f t="shared" ref="G310:G328" si="21">VALUE(D310)</f>
        <v>0</v>
      </c>
      <c r="H310">
        <f>SUMIF($F$2:$F$552,A310,$G$2:$G$552)</f>
        <v>0</v>
      </c>
    </row>
    <row r="311" spans="1:11" x14ac:dyDescent="0.25">
      <c r="A311" t="s">
        <v>270</v>
      </c>
      <c r="B311" s="4">
        <v>45840</v>
      </c>
      <c r="C311" t="s">
        <v>314</v>
      </c>
      <c r="D311">
        <v>50</v>
      </c>
      <c r="E311">
        <v>13409.88</v>
      </c>
      <c r="F311" t="s">
        <v>270</v>
      </c>
      <c r="G311">
        <f t="shared" si="21"/>
        <v>50</v>
      </c>
      <c r="H311">
        <f>SUMIF($F$2:$F$552,A311,$G$2:$G$552)</f>
        <v>750</v>
      </c>
      <c r="I311" t="s">
        <v>475</v>
      </c>
    </row>
    <row r="312" spans="1:11" x14ac:dyDescent="0.25">
      <c r="A312" t="s">
        <v>68</v>
      </c>
      <c r="B312" s="4">
        <v>45845</v>
      </c>
      <c r="C312" t="s">
        <v>315</v>
      </c>
      <c r="D312">
        <v>100.13</v>
      </c>
      <c r="E312">
        <v>13510.01</v>
      </c>
      <c r="F312" t="s">
        <v>68</v>
      </c>
      <c r="G312">
        <f t="shared" si="21"/>
        <v>100.13</v>
      </c>
      <c r="H312">
        <f>SUMIF($F$2:$F$552,A312,$G$2:$G$552)</f>
        <v>3804.9400000000028</v>
      </c>
      <c r="I312" t="s">
        <v>475</v>
      </c>
    </row>
    <row r="313" spans="1:11" x14ac:dyDescent="0.25">
      <c r="A313" t="s">
        <v>14</v>
      </c>
      <c r="B313" s="4">
        <v>45847</v>
      </c>
      <c r="C313" t="s">
        <v>316</v>
      </c>
      <c r="D313">
        <v>50.06</v>
      </c>
      <c r="E313">
        <v>13560.07</v>
      </c>
      <c r="F313" t="s">
        <v>14</v>
      </c>
      <c r="G313">
        <f t="shared" si="21"/>
        <v>50.06</v>
      </c>
      <c r="H313">
        <f>SUMIF($F$2:$F$552,A313,$G$2:$G$552)</f>
        <v>2821.3799999999992</v>
      </c>
      <c r="I313" t="s">
        <v>475</v>
      </c>
    </row>
    <row r="314" spans="1:11" x14ac:dyDescent="0.25">
      <c r="A314" t="s">
        <v>42</v>
      </c>
      <c r="B314" s="4">
        <v>45848</v>
      </c>
      <c r="C314" t="s">
        <v>317</v>
      </c>
      <c r="D314">
        <v>150</v>
      </c>
      <c r="E314">
        <v>13710.07</v>
      </c>
      <c r="F314" t="s">
        <v>42</v>
      </c>
      <c r="G314">
        <f t="shared" si="21"/>
        <v>150</v>
      </c>
      <c r="H314">
        <f>SUMIF($F$2:$F$552,A314,$G$2:$G$552)</f>
        <v>3400.06</v>
      </c>
      <c r="I314" t="s">
        <v>475</v>
      </c>
    </row>
    <row r="315" spans="1:11" x14ac:dyDescent="0.25">
      <c r="A315" t="s">
        <v>33</v>
      </c>
      <c r="B315" s="4">
        <v>45848</v>
      </c>
      <c r="C315" t="s">
        <v>318</v>
      </c>
      <c r="D315">
        <v>50.07</v>
      </c>
      <c r="E315">
        <v>13760.14</v>
      </c>
      <c r="F315" t="s">
        <v>33</v>
      </c>
      <c r="G315">
        <f t="shared" si="21"/>
        <v>50.07</v>
      </c>
      <c r="H315">
        <f>SUMIF($F$2:$F$552,A315,$G$2:$G$552)</f>
        <v>2452.5199999999995</v>
      </c>
      <c r="I315" t="s">
        <v>475</v>
      </c>
    </row>
    <row r="316" spans="1:11" x14ac:dyDescent="0.25">
      <c r="A316" t="s">
        <v>73</v>
      </c>
      <c r="B316" s="4">
        <v>45853</v>
      </c>
      <c r="C316" t="s">
        <v>319</v>
      </c>
      <c r="D316">
        <v>100.04</v>
      </c>
      <c r="E316">
        <v>13860.18</v>
      </c>
      <c r="F316" t="s">
        <v>73</v>
      </c>
      <c r="G316">
        <f t="shared" si="21"/>
        <v>100.04</v>
      </c>
      <c r="H316">
        <f>SUMIF($F$2:$F$552,A316,$G$2:$G$552)</f>
        <v>2400.8399999999997</v>
      </c>
      <c r="I316" t="s">
        <v>475</v>
      </c>
    </row>
    <row r="317" spans="1:11" x14ac:dyDescent="0.25">
      <c r="A317" t="s">
        <v>5</v>
      </c>
      <c r="B317" s="4">
        <v>45854</v>
      </c>
      <c r="C317" t="s">
        <v>65</v>
      </c>
      <c r="D317">
        <v>100.02</v>
      </c>
      <c r="E317">
        <v>13960.2</v>
      </c>
      <c r="F317" t="s">
        <v>5</v>
      </c>
      <c r="G317">
        <f t="shared" si="21"/>
        <v>100.02</v>
      </c>
      <c r="H317">
        <f>SUMIF($F$2:$F$552,A317,$G$2:$G$552)</f>
        <v>2700.7599999999998</v>
      </c>
      <c r="I317" t="s">
        <v>475</v>
      </c>
    </row>
    <row r="318" spans="1:11" x14ac:dyDescent="0.25">
      <c r="B318" s="4">
        <v>45855</v>
      </c>
      <c r="C318" t="s">
        <v>320</v>
      </c>
      <c r="D318">
        <v>6846.59</v>
      </c>
      <c r="E318">
        <v>20806.79</v>
      </c>
      <c r="G318">
        <f t="shared" si="21"/>
        <v>6846.59</v>
      </c>
      <c r="H318">
        <f>SUMIF($F$2:$F$552,A318,$G$2:$G$552)</f>
        <v>0</v>
      </c>
      <c r="I318" t="s">
        <v>485</v>
      </c>
    </row>
    <row r="319" spans="1:11" x14ac:dyDescent="0.25">
      <c r="A319" t="s">
        <v>270</v>
      </c>
      <c r="B319" s="4">
        <v>45855</v>
      </c>
      <c r="C319" t="s">
        <v>321</v>
      </c>
      <c r="D319">
        <v>50</v>
      </c>
      <c r="E319">
        <v>20856.79</v>
      </c>
      <c r="F319" t="s">
        <v>270</v>
      </c>
      <c r="G319">
        <f t="shared" si="21"/>
        <v>50</v>
      </c>
      <c r="H319">
        <f>SUMIF($F$2:$F$552,A319,$G$2:$G$552)</f>
        <v>750</v>
      </c>
      <c r="I319" t="s">
        <v>475</v>
      </c>
    </row>
    <row r="320" spans="1:11" x14ac:dyDescent="0.25">
      <c r="B320" s="4">
        <v>45856</v>
      </c>
      <c r="C320" t="s">
        <v>322</v>
      </c>
      <c r="D320">
        <v>317.60000000000002</v>
      </c>
      <c r="E320">
        <v>21174.39</v>
      </c>
      <c r="G320">
        <f t="shared" si="21"/>
        <v>317.60000000000002</v>
      </c>
      <c r="H320">
        <f>SUMIF($F$2:$F$552,A320,$G$2:$G$552)</f>
        <v>0</v>
      </c>
      <c r="I320" t="s">
        <v>476</v>
      </c>
      <c r="K320" s="7" t="s">
        <v>68</v>
      </c>
    </row>
    <row r="321" spans="1:11" x14ac:dyDescent="0.25">
      <c r="A321" t="s">
        <v>231</v>
      </c>
      <c r="B321" s="4">
        <v>45856</v>
      </c>
      <c r="C321" t="s">
        <v>323</v>
      </c>
      <c r="D321">
        <v>250</v>
      </c>
      <c r="E321">
        <v>21424.39</v>
      </c>
      <c r="F321" t="s">
        <v>231</v>
      </c>
      <c r="G321">
        <f t="shared" si="21"/>
        <v>250</v>
      </c>
      <c r="H321">
        <f>SUMIF($F$2:$F$552,A321,$G$2:$G$552)</f>
        <v>650</v>
      </c>
      <c r="I321" t="s">
        <v>475</v>
      </c>
    </row>
    <row r="322" spans="1:11" x14ac:dyDescent="0.25">
      <c r="A322" t="s">
        <v>28</v>
      </c>
      <c r="B322" s="4">
        <v>45859</v>
      </c>
      <c r="C322" t="s">
        <v>324</v>
      </c>
      <c r="D322">
        <v>100</v>
      </c>
      <c r="E322">
        <v>21524.39</v>
      </c>
      <c r="F322" t="s">
        <v>28</v>
      </c>
      <c r="G322">
        <f t="shared" si="21"/>
        <v>100</v>
      </c>
      <c r="H322">
        <f>SUMIF($F$2:$F$552,A322,$G$2:$G$552)</f>
        <v>2356.04</v>
      </c>
      <c r="I322" t="s">
        <v>475</v>
      </c>
    </row>
    <row r="323" spans="1:11" x14ac:dyDescent="0.25">
      <c r="B323" s="4">
        <v>45859</v>
      </c>
      <c r="C323" t="s">
        <v>325</v>
      </c>
      <c r="D323">
        <v>-7000</v>
      </c>
      <c r="E323">
        <v>14524.39</v>
      </c>
      <c r="G323">
        <f t="shared" si="21"/>
        <v>-7000</v>
      </c>
      <c r="H323">
        <f>SUMIF($F$2:$F$552,A323,$G$2:$G$552)</f>
        <v>0</v>
      </c>
      <c r="I323" t="s">
        <v>486</v>
      </c>
    </row>
    <row r="324" spans="1:11" x14ac:dyDescent="0.25">
      <c r="B324" s="4">
        <v>45859</v>
      </c>
      <c r="C324" t="s">
        <v>326</v>
      </c>
      <c r="D324">
        <v>-7500</v>
      </c>
      <c r="E324">
        <v>7024.39</v>
      </c>
      <c r="G324">
        <f t="shared" si="21"/>
        <v>-7500</v>
      </c>
      <c r="H324">
        <f>SUMIF($F$2:$F$552,A324,$G$2:$G$552)</f>
        <v>0</v>
      </c>
      <c r="I324" t="s">
        <v>478</v>
      </c>
      <c r="K324" s="7" t="s">
        <v>68</v>
      </c>
    </row>
    <row r="325" spans="1:11" x14ac:dyDescent="0.25">
      <c r="A325" t="s">
        <v>222</v>
      </c>
      <c r="B325" s="4">
        <v>45863</v>
      </c>
      <c r="C325" t="s">
        <v>327</v>
      </c>
      <c r="D325">
        <v>150.15</v>
      </c>
      <c r="E325">
        <v>7174.54</v>
      </c>
      <c r="F325" t="s">
        <v>222</v>
      </c>
      <c r="G325">
        <f t="shared" si="21"/>
        <v>150.15</v>
      </c>
      <c r="H325">
        <f>SUMIF($F$2:$F$552,A325,$G$2:$G$552)</f>
        <v>2717.5000000000005</v>
      </c>
      <c r="I325" t="s">
        <v>475</v>
      </c>
    </row>
    <row r="326" spans="1:11" x14ac:dyDescent="0.25">
      <c r="A326" t="s">
        <v>24</v>
      </c>
      <c r="B326" s="4">
        <v>45866</v>
      </c>
      <c r="C326" t="s">
        <v>328</v>
      </c>
      <c r="D326">
        <v>100.09</v>
      </c>
      <c r="E326">
        <v>7274.63</v>
      </c>
      <c r="F326" t="s">
        <v>24</v>
      </c>
      <c r="G326">
        <f t="shared" si="21"/>
        <v>100.09</v>
      </c>
      <c r="H326">
        <f>SUMIF($F$2:$F$552,A326,$G$2:$G$552)</f>
        <v>4003.3300000000022</v>
      </c>
      <c r="I326" t="s">
        <v>475</v>
      </c>
    </row>
    <row r="327" spans="1:11" x14ac:dyDescent="0.25">
      <c r="B327" s="4">
        <v>45866</v>
      </c>
      <c r="C327" t="s">
        <v>329</v>
      </c>
      <c r="D327">
        <v>-2200</v>
      </c>
      <c r="E327">
        <v>5074.63</v>
      </c>
      <c r="G327">
        <f t="shared" si="21"/>
        <v>-2200</v>
      </c>
      <c r="H327">
        <f>SUMIF($F$2:$F$552,A327,$G$2:$G$552)</f>
        <v>0</v>
      </c>
      <c r="I327" t="s">
        <v>478</v>
      </c>
      <c r="K327" t="s">
        <v>487</v>
      </c>
    </row>
    <row r="328" spans="1:11" x14ac:dyDescent="0.25">
      <c r="A328" t="s">
        <v>225</v>
      </c>
      <c r="B328" s="4">
        <v>45867</v>
      </c>
      <c r="C328" t="s">
        <v>226</v>
      </c>
      <c r="D328">
        <v>50.17</v>
      </c>
      <c r="E328">
        <v>5124.8</v>
      </c>
      <c r="F328" t="s">
        <v>225</v>
      </c>
      <c r="G328">
        <f t="shared" si="21"/>
        <v>50.17</v>
      </c>
      <c r="H328">
        <f>SUMIF($F$2:$F$552,A328,$G$2:$G$552)</f>
        <v>902.54999999999984</v>
      </c>
      <c r="I328" t="s">
        <v>475</v>
      </c>
    </row>
    <row r="329" spans="1:11" x14ac:dyDescent="0.25">
      <c r="B329" s="3"/>
    </row>
    <row r="330" spans="1:11" x14ac:dyDescent="0.25">
      <c r="B330" s="3"/>
    </row>
    <row r="331" spans="1:11" x14ac:dyDescent="0.25">
      <c r="B331" s="4">
        <v>45870</v>
      </c>
      <c r="C331" t="s">
        <v>330</v>
      </c>
      <c r="E331">
        <v>5124.8</v>
      </c>
      <c r="G331">
        <f>VALUE(D331)</f>
        <v>0</v>
      </c>
      <c r="H331">
        <f>SUMIF($F$2:$F$552,A331,$G$2:$G$552)</f>
        <v>0</v>
      </c>
    </row>
    <row r="332" spans="1:11" x14ac:dyDescent="0.25">
      <c r="B332" s="4">
        <v>45870</v>
      </c>
      <c r="C332" t="s">
        <v>331</v>
      </c>
      <c r="D332">
        <v>410</v>
      </c>
      <c r="E332">
        <v>5534.8</v>
      </c>
      <c r="G332">
        <f>VALUE(D332)</f>
        <v>410</v>
      </c>
      <c r="H332">
        <f>SUMIF($F$2:$F$552,A332,$G$2:$G$552)</f>
        <v>0</v>
      </c>
      <c r="I332" t="s">
        <v>476</v>
      </c>
      <c r="K332" t="s">
        <v>14</v>
      </c>
    </row>
    <row r="333" spans="1:11" x14ac:dyDescent="0.25">
      <c r="B333" s="4">
        <v>45877</v>
      </c>
      <c r="C333" t="s">
        <v>332</v>
      </c>
      <c r="D333">
        <v>600</v>
      </c>
      <c r="E333">
        <v>6134.8</v>
      </c>
      <c r="G333">
        <f>VALUE(D333)</f>
        <v>600</v>
      </c>
      <c r="H333">
        <f>SUMIF($F$2:$F$552,A333,$G$2:$G$552)</f>
        <v>0</v>
      </c>
      <c r="I333" t="s">
        <v>476</v>
      </c>
      <c r="K333" t="s">
        <v>19</v>
      </c>
    </row>
    <row r="334" spans="1:11" x14ac:dyDescent="0.25">
      <c r="A334" t="s">
        <v>42</v>
      </c>
      <c r="B334" s="4">
        <v>45880</v>
      </c>
      <c r="C334" t="s">
        <v>333</v>
      </c>
      <c r="D334">
        <v>150</v>
      </c>
      <c r="E334">
        <v>6284.8</v>
      </c>
      <c r="F334" t="s">
        <v>42</v>
      </c>
      <c r="G334">
        <f>VALUE(D334)</f>
        <v>150</v>
      </c>
      <c r="H334">
        <f>SUMIF($F$2:$F$552,A334,$G$2:$G$552)</f>
        <v>3400.06</v>
      </c>
      <c r="I334" t="s">
        <v>475</v>
      </c>
    </row>
    <row r="335" spans="1:11" x14ac:dyDescent="0.25">
      <c r="B335" s="4">
        <v>45884</v>
      </c>
      <c r="C335" t="s">
        <v>334</v>
      </c>
      <c r="D335">
        <v>443.55</v>
      </c>
      <c r="E335">
        <v>6728.35</v>
      </c>
      <c r="G335">
        <f t="shared" ref="G335:G349" si="22">VALUE(D335)</f>
        <v>443.55</v>
      </c>
      <c r="H335">
        <f>SUMIF($F$2:$F$552,A335,$G$2:$G$552)</f>
        <v>0</v>
      </c>
      <c r="I335" t="s">
        <v>476</v>
      </c>
      <c r="K335" s="7" t="s">
        <v>68</v>
      </c>
    </row>
    <row r="336" spans="1:11" x14ac:dyDescent="0.25">
      <c r="A336" t="s">
        <v>68</v>
      </c>
      <c r="B336" s="4">
        <v>45884</v>
      </c>
      <c r="C336" t="s">
        <v>335</v>
      </c>
      <c r="D336">
        <v>100.13</v>
      </c>
      <c r="E336">
        <v>6828.48</v>
      </c>
      <c r="F336" t="s">
        <v>68</v>
      </c>
      <c r="G336">
        <f t="shared" si="22"/>
        <v>100.13</v>
      </c>
      <c r="H336">
        <f>SUMIF($F$2:$F$552,A336,$G$2:$G$552)</f>
        <v>3804.9400000000028</v>
      </c>
      <c r="I336" t="s">
        <v>475</v>
      </c>
    </row>
    <row r="337" spans="1:11" x14ac:dyDescent="0.25">
      <c r="A337" t="s">
        <v>73</v>
      </c>
      <c r="B337" s="4">
        <v>45884</v>
      </c>
      <c r="C337" t="s">
        <v>336</v>
      </c>
      <c r="D337">
        <v>100.04</v>
      </c>
      <c r="E337">
        <v>6928.52</v>
      </c>
      <c r="F337" t="s">
        <v>73</v>
      </c>
      <c r="G337">
        <f t="shared" si="22"/>
        <v>100.04</v>
      </c>
      <c r="H337">
        <f>SUMIF($F$2:$F$552,A337,$G$2:$G$552)</f>
        <v>2400.8399999999997</v>
      </c>
      <c r="I337" t="s">
        <v>475</v>
      </c>
    </row>
    <row r="338" spans="1:11" x14ac:dyDescent="0.25">
      <c r="B338" s="4">
        <v>45887</v>
      </c>
      <c r="C338" t="s">
        <v>337</v>
      </c>
      <c r="D338">
        <v>200</v>
      </c>
      <c r="E338">
        <v>7128.52</v>
      </c>
      <c r="G338">
        <f t="shared" si="22"/>
        <v>200</v>
      </c>
      <c r="H338">
        <f>SUMIF($F$2:$F$552,A338,$G$2:$G$552)</f>
        <v>0</v>
      </c>
      <c r="I338" t="s">
        <v>476</v>
      </c>
      <c r="K338" t="s">
        <v>487</v>
      </c>
    </row>
    <row r="339" spans="1:11" x14ac:dyDescent="0.25">
      <c r="B339" s="4">
        <v>45887</v>
      </c>
      <c r="C339" t="s">
        <v>338</v>
      </c>
      <c r="D339">
        <v>174</v>
      </c>
      <c r="E339">
        <v>7302.52</v>
      </c>
      <c r="G339">
        <f t="shared" si="22"/>
        <v>174</v>
      </c>
      <c r="H339">
        <f>SUMIF($F$2:$F$552,A339,$G$2:$G$552)</f>
        <v>0</v>
      </c>
      <c r="I339" t="s">
        <v>476</v>
      </c>
      <c r="K339" t="s">
        <v>487</v>
      </c>
    </row>
    <row r="340" spans="1:11" x14ac:dyDescent="0.25">
      <c r="A340" t="s">
        <v>222</v>
      </c>
      <c r="B340" s="4">
        <v>45887</v>
      </c>
      <c r="C340" t="s">
        <v>339</v>
      </c>
      <c r="D340">
        <v>150.15</v>
      </c>
      <c r="E340">
        <v>7452.67</v>
      </c>
      <c r="F340" t="s">
        <v>222</v>
      </c>
      <c r="G340">
        <f t="shared" si="22"/>
        <v>150.15</v>
      </c>
      <c r="H340">
        <f>SUMIF($F$2:$F$552,A340,$G$2:$G$552)</f>
        <v>2717.5000000000005</v>
      </c>
      <c r="I340" t="s">
        <v>475</v>
      </c>
    </row>
    <row r="341" spans="1:11" x14ac:dyDescent="0.25">
      <c r="A341" t="s">
        <v>5</v>
      </c>
      <c r="B341" s="4">
        <v>45887</v>
      </c>
      <c r="C341" t="s">
        <v>65</v>
      </c>
      <c r="D341">
        <v>100.02</v>
      </c>
      <c r="E341">
        <v>7552.69</v>
      </c>
      <c r="F341" t="s">
        <v>5</v>
      </c>
      <c r="G341">
        <f t="shared" si="22"/>
        <v>100.02</v>
      </c>
      <c r="H341">
        <f>SUMIF($F$2:$F$552,A341,$G$2:$G$552)</f>
        <v>2700.7599999999998</v>
      </c>
      <c r="I341" t="s">
        <v>475</v>
      </c>
    </row>
    <row r="342" spans="1:11" x14ac:dyDescent="0.25">
      <c r="A342" t="s">
        <v>33</v>
      </c>
      <c r="B342" s="4">
        <v>45887</v>
      </c>
      <c r="C342" t="s">
        <v>340</v>
      </c>
      <c r="D342">
        <v>50.07</v>
      </c>
      <c r="E342">
        <v>7602.76</v>
      </c>
      <c r="F342" t="s">
        <v>33</v>
      </c>
      <c r="G342">
        <f t="shared" si="22"/>
        <v>50.07</v>
      </c>
      <c r="H342">
        <f>SUMIF($F$2:$F$552,A342,$G$2:$G$552)</f>
        <v>2452.5199999999995</v>
      </c>
      <c r="I342" t="s">
        <v>475</v>
      </c>
    </row>
    <row r="343" spans="1:11" x14ac:dyDescent="0.25">
      <c r="A343" t="s">
        <v>14</v>
      </c>
      <c r="B343" s="4">
        <v>45887</v>
      </c>
      <c r="C343" t="s">
        <v>341</v>
      </c>
      <c r="D343">
        <v>50.06</v>
      </c>
      <c r="E343">
        <v>7652.82</v>
      </c>
      <c r="F343" t="s">
        <v>14</v>
      </c>
      <c r="G343">
        <f t="shared" si="22"/>
        <v>50.06</v>
      </c>
      <c r="H343">
        <f>SUMIF($F$2:$F$552,A343,$G$2:$G$552)</f>
        <v>2821.3799999999992</v>
      </c>
      <c r="I343" t="s">
        <v>475</v>
      </c>
    </row>
    <row r="344" spans="1:11" x14ac:dyDescent="0.25">
      <c r="A344" t="s">
        <v>231</v>
      </c>
      <c r="B344" s="4">
        <v>45887</v>
      </c>
      <c r="C344" t="s">
        <v>342</v>
      </c>
      <c r="D344">
        <v>50</v>
      </c>
      <c r="E344">
        <v>7702.82</v>
      </c>
      <c r="F344" t="s">
        <v>231</v>
      </c>
      <c r="G344">
        <f t="shared" si="22"/>
        <v>50</v>
      </c>
      <c r="H344">
        <f>SUMIF($F$2:$F$552,A344,$G$2:$G$552)</f>
        <v>650</v>
      </c>
      <c r="I344" t="s">
        <v>475</v>
      </c>
    </row>
    <row r="345" spans="1:11" x14ac:dyDescent="0.25">
      <c r="A345" t="s">
        <v>225</v>
      </c>
      <c r="B345" s="4">
        <v>45888</v>
      </c>
      <c r="C345" t="s">
        <v>226</v>
      </c>
      <c r="D345">
        <v>50.17</v>
      </c>
      <c r="E345">
        <v>7752.99</v>
      </c>
      <c r="F345" t="s">
        <v>225</v>
      </c>
      <c r="G345">
        <f t="shared" si="22"/>
        <v>50.17</v>
      </c>
      <c r="H345">
        <f>SUMIF($F$2:$F$552,A345,$G$2:$G$552)</f>
        <v>902.54999999999984</v>
      </c>
      <c r="I345" t="s">
        <v>475</v>
      </c>
    </row>
    <row r="346" spans="1:11" x14ac:dyDescent="0.25">
      <c r="B346" s="4">
        <v>45891</v>
      </c>
      <c r="C346" t="s">
        <v>343</v>
      </c>
      <c r="D346">
        <v>434.94</v>
      </c>
      <c r="E346">
        <v>8187.93</v>
      </c>
      <c r="G346">
        <f t="shared" si="22"/>
        <v>434.94</v>
      </c>
      <c r="H346">
        <f>SUMIF($F$2:$F$552,A346,$G$2:$G$552)</f>
        <v>0</v>
      </c>
      <c r="I346" t="s">
        <v>476</v>
      </c>
      <c r="K346" t="s">
        <v>14</v>
      </c>
    </row>
    <row r="347" spans="1:11" x14ac:dyDescent="0.25">
      <c r="A347" t="s">
        <v>270</v>
      </c>
      <c r="B347" s="4">
        <v>45895</v>
      </c>
      <c r="C347" t="s">
        <v>344</v>
      </c>
      <c r="D347">
        <v>50</v>
      </c>
      <c r="E347">
        <v>8237.93</v>
      </c>
      <c r="F347" t="s">
        <v>270</v>
      </c>
      <c r="G347">
        <f t="shared" si="22"/>
        <v>50</v>
      </c>
      <c r="H347">
        <f>SUMIF($F$2:$F$552,A347,$G$2:$G$552)</f>
        <v>750</v>
      </c>
      <c r="I347" t="s">
        <v>475</v>
      </c>
    </row>
    <row r="348" spans="1:11" x14ac:dyDescent="0.25">
      <c r="A348" t="s">
        <v>345</v>
      </c>
      <c r="B348" s="4">
        <v>45897</v>
      </c>
      <c r="C348" t="s">
        <v>346</v>
      </c>
      <c r="D348">
        <v>200</v>
      </c>
      <c r="E348">
        <v>8437.93</v>
      </c>
      <c r="F348" t="s">
        <v>345</v>
      </c>
      <c r="G348">
        <f t="shared" si="22"/>
        <v>200</v>
      </c>
      <c r="H348">
        <f>SUMIF($F$2:$F$552,A348,$G$2:$G$552)</f>
        <v>1000</v>
      </c>
      <c r="I348" t="s">
        <v>475</v>
      </c>
    </row>
    <row r="349" spans="1:11" x14ac:dyDescent="0.25">
      <c r="A349" t="s">
        <v>24</v>
      </c>
      <c r="B349" s="4">
        <v>45897</v>
      </c>
      <c r="C349" t="s">
        <v>347</v>
      </c>
      <c r="D349">
        <v>100.09</v>
      </c>
      <c r="E349">
        <v>8538.02</v>
      </c>
      <c r="F349" t="s">
        <v>24</v>
      </c>
      <c r="G349">
        <f t="shared" si="22"/>
        <v>100.09</v>
      </c>
      <c r="H349">
        <f>SUMIF($F$2:$F$552,A349,$G$2:$G$552)</f>
        <v>4003.3300000000022</v>
      </c>
      <c r="I349" t="s">
        <v>475</v>
      </c>
    </row>
    <row r="350" spans="1:11" x14ac:dyDescent="0.25">
      <c r="B350" s="4"/>
    </row>
    <row r="351" spans="1:11" x14ac:dyDescent="0.25">
      <c r="B351" s="4"/>
    </row>
    <row r="352" spans="1:11" x14ac:dyDescent="0.25">
      <c r="B352" s="4">
        <v>45903</v>
      </c>
      <c r="C352" t="s">
        <v>348</v>
      </c>
      <c r="D352">
        <v>-99.5</v>
      </c>
      <c r="E352">
        <v>8438.52</v>
      </c>
      <c r="G352">
        <f t="shared" ref="G352:G368" si="23">VALUE(D352)</f>
        <v>-99.5</v>
      </c>
      <c r="H352">
        <f>SUMIF($F$2:$F$552,A352,$G$2:$G$552)</f>
        <v>0</v>
      </c>
      <c r="I352" t="s">
        <v>480</v>
      </c>
      <c r="J352" t="s">
        <v>483</v>
      </c>
    </row>
    <row r="353" spans="1:11" x14ac:dyDescent="0.25">
      <c r="B353" s="4">
        <v>45904</v>
      </c>
      <c r="C353" t="s">
        <v>349</v>
      </c>
      <c r="D353">
        <v>500</v>
      </c>
      <c r="E353">
        <v>8938.52</v>
      </c>
      <c r="G353">
        <f t="shared" si="23"/>
        <v>500</v>
      </c>
      <c r="H353">
        <f>SUMIF($F$2:$F$552,A353,$G$2:$G$552)</f>
        <v>0</v>
      </c>
      <c r="I353" t="s">
        <v>476</v>
      </c>
      <c r="K353" t="s">
        <v>19</v>
      </c>
    </row>
    <row r="354" spans="1:11" x14ac:dyDescent="0.25">
      <c r="A354" t="s">
        <v>68</v>
      </c>
      <c r="B354" s="4">
        <v>45911</v>
      </c>
      <c r="C354" t="s">
        <v>350</v>
      </c>
      <c r="D354">
        <v>100.13</v>
      </c>
      <c r="E354">
        <v>9038.65</v>
      </c>
      <c r="F354" t="s">
        <v>68</v>
      </c>
      <c r="G354">
        <f t="shared" si="23"/>
        <v>100.13</v>
      </c>
      <c r="H354">
        <f>SUMIF($F$2:$F$552,A354,$G$2:$G$552)</f>
        <v>3804.9400000000028</v>
      </c>
      <c r="I354" t="s">
        <v>475</v>
      </c>
    </row>
    <row r="355" spans="1:11" x14ac:dyDescent="0.25">
      <c r="A355" t="s">
        <v>14</v>
      </c>
      <c r="B355" s="4">
        <v>45911</v>
      </c>
      <c r="C355" t="s">
        <v>351</v>
      </c>
      <c r="D355">
        <v>50.06</v>
      </c>
      <c r="E355">
        <v>9088.7099999999991</v>
      </c>
      <c r="F355" t="s">
        <v>14</v>
      </c>
      <c r="G355">
        <f t="shared" si="23"/>
        <v>50.06</v>
      </c>
      <c r="H355">
        <f>SUMIF($F$2:$F$552,A355,$G$2:$G$552)</f>
        <v>2821.3799999999992</v>
      </c>
      <c r="I355" t="s">
        <v>475</v>
      </c>
    </row>
    <row r="356" spans="1:11" x14ac:dyDescent="0.25">
      <c r="B356" s="4">
        <v>45912</v>
      </c>
      <c r="C356" t="s">
        <v>352</v>
      </c>
      <c r="D356">
        <v>443.55</v>
      </c>
      <c r="E356">
        <v>9532.26</v>
      </c>
      <c r="G356">
        <f t="shared" si="23"/>
        <v>443.55</v>
      </c>
      <c r="H356">
        <f>SUMIF($F$2:$F$552,A356,$G$2:$G$552)</f>
        <v>0</v>
      </c>
      <c r="I356" t="s">
        <v>476</v>
      </c>
      <c r="K356" s="7" t="s">
        <v>68</v>
      </c>
    </row>
    <row r="357" spans="1:11" x14ac:dyDescent="0.25">
      <c r="A357" t="s">
        <v>222</v>
      </c>
      <c r="B357" s="4">
        <v>45912</v>
      </c>
      <c r="C357" t="s">
        <v>353</v>
      </c>
      <c r="D357">
        <v>150.15</v>
      </c>
      <c r="E357">
        <v>9682.41</v>
      </c>
      <c r="F357" t="s">
        <v>222</v>
      </c>
      <c r="G357">
        <f t="shared" si="23"/>
        <v>150.15</v>
      </c>
      <c r="H357">
        <f>SUMIF($F$2:$F$552,A357,$G$2:$G$552)</f>
        <v>2717.5000000000005</v>
      </c>
      <c r="I357" t="s">
        <v>475</v>
      </c>
    </row>
    <row r="358" spans="1:11" x14ac:dyDescent="0.25">
      <c r="A358" t="s">
        <v>28</v>
      </c>
      <c r="B358" s="4">
        <v>45912</v>
      </c>
      <c r="C358" t="s">
        <v>354</v>
      </c>
      <c r="D358">
        <v>100</v>
      </c>
      <c r="E358">
        <v>9782.41</v>
      </c>
      <c r="F358" t="s">
        <v>28</v>
      </c>
      <c r="G358">
        <f t="shared" si="23"/>
        <v>100</v>
      </c>
      <c r="H358">
        <f>SUMIF($F$2:$F$552,A358,$G$2:$G$552)</f>
        <v>2356.04</v>
      </c>
      <c r="I358" t="s">
        <v>475</v>
      </c>
    </row>
    <row r="359" spans="1:11" x14ac:dyDescent="0.25">
      <c r="A359" t="s">
        <v>73</v>
      </c>
      <c r="B359" s="4">
        <v>45915</v>
      </c>
      <c r="C359" t="s">
        <v>355</v>
      </c>
      <c r="D359">
        <v>100.04</v>
      </c>
      <c r="E359">
        <v>9882.4500000000007</v>
      </c>
      <c r="F359" t="s">
        <v>73</v>
      </c>
      <c r="G359">
        <f t="shared" si="23"/>
        <v>100.04</v>
      </c>
      <c r="H359">
        <f>SUMIF($F$2:$F$552,A359,$G$2:$G$552)</f>
        <v>2400.8399999999997</v>
      </c>
      <c r="I359" t="s">
        <v>475</v>
      </c>
    </row>
    <row r="360" spans="1:11" x14ac:dyDescent="0.25">
      <c r="A360" t="s">
        <v>270</v>
      </c>
      <c r="B360" s="4">
        <v>45915</v>
      </c>
      <c r="C360" t="s">
        <v>356</v>
      </c>
      <c r="D360">
        <v>50</v>
      </c>
      <c r="E360">
        <v>9932.4500000000007</v>
      </c>
      <c r="F360" t="s">
        <v>270</v>
      </c>
      <c r="G360">
        <f t="shared" si="23"/>
        <v>50</v>
      </c>
      <c r="H360">
        <f>SUMIF($F$2:$F$552,A360,$G$2:$G$552)</f>
        <v>750</v>
      </c>
      <c r="I360" t="s">
        <v>475</v>
      </c>
    </row>
    <row r="361" spans="1:11" x14ac:dyDescent="0.25">
      <c r="A361" t="s">
        <v>357</v>
      </c>
      <c r="B361" s="4">
        <v>45916</v>
      </c>
      <c r="C361" t="s">
        <v>358</v>
      </c>
      <c r="D361">
        <v>150</v>
      </c>
      <c r="E361">
        <v>10082.450000000001</v>
      </c>
      <c r="F361" t="s">
        <v>357</v>
      </c>
      <c r="G361">
        <f t="shared" si="23"/>
        <v>150</v>
      </c>
      <c r="H361">
        <f>SUMIF($F$2:$F$552,A361,$G$2:$G$552)</f>
        <v>150</v>
      </c>
      <c r="I361" t="s">
        <v>475</v>
      </c>
    </row>
    <row r="362" spans="1:11" x14ac:dyDescent="0.25">
      <c r="A362" t="s">
        <v>5</v>
      </c>
      <c r="B362" s="4">
        <v>45916</v>
      </c>
      <c r="C362" t="s">
        <v>65</v>
      </c>
      <c r="D362">
        <v>100.02</v>
      </c>
      <c r="E362">
        <v>10182.469999999999</v>
      </c>
      <c r="F362" t="s">
        <v>5</v>
      </c>
      <c r="G362">
        <f t="shared" si="23"/>
        <v>100.02</v>
      </c>
      <c r="H362">
        <f>SUMIF($F$2:$F$552,A362,$G$2:$G$552)</f>
        <v>2700.7599999999998</v>
      </c>
      <c r="I362" t="s">
        <v>475</v>
      </c>
    </row>
    <row r="363" spans="1:11" x14ac:dyDescent="0.25">
      <c r="A363" t="s">
        <v>225</v>
      </c>
      <c r="B363" s="4">
        <v>45916</v>
      </c>
      <c r="C363" t="s">
        <v>226</v>
      </c>
      <c r="D363">
        <v>50.17</v>
      </c>
      <c r="E363">
        <v>10232.64</v>
      </c>
      <c r="F363" t="s">
        <v>225</v>
      </c>
      <c r="G363">
        <f t="shared" si="23"/>
        <v>50.17</v>
      </c>
      <c r="H363">
        <f>SUMIF($F$2:$F$552,A363,$G$2:$G$552)</f>
        <v>902.54999999999984</v>
      </c>
      <c r="I363" t="s">
        <v>475</v>
      </c>
    </row>
    <row r="364" spans="1:11" x14ac:dyDescent="0.25">
      <c r="B364" s="4">
        <v>45922</v>
      </c>
      <c r="C364" t="s">
        <v>359</v>
      </c>
      <c r="D364">
        <v>434.34</v>
      </c>
      <c r="E364">
        <v>10666.98</v>
      </c>
      <c r="G364">
        <f t="shared" si="23"/>
        <v>434.34</v>
      </c>
      <c r="H364">
        <f>SUMIF($F$2:$F$552,A364,$G$2:$G$552)</f>
        <v>0</v>
      </c>
      <c r="I364" t="s">
        <v>476</v>
      </c>
      <c r="K364" t="s">
        <v>14</v>
      </c>
    </row>
    <row r="365" spans="1:11" x14ac:dyDescent="0.25">
      <c r="B365" s="4">
        <v>45922</v>
      </c>
      <c r="C365" t="s">
        <v>360</v>
      </c>
      <c r="D365">
        <v>200</v>
      </c>
      <c r="E365">
        <v>10866.98</v>
      </c>
      <c r="G365">
        <f t="shared" si="23"/>
        <v>200</v>
      </c>
      <c r="H365">
        <f>SUMIF($F$2:$F$552,A365,$G$2:$G$552)</f>
        <v>0</v>
      </c>
      <c r="I365" t="s">
        <v>476</v>
      </c>
      <c r="K365" t="s">
        <v>487</v>
      </c>
    </row>
    <row r="366" spans="1:11" x14ac:dyDescent="0.25">
      <c r="A366" t="s">
        <v>361</v>
      </c>
      <c r="B366" s="4">
        <v>45923</v>
      </c>
      <c r="C366" t="s">
        <v>362</v>
      </c>
      <c r="D366">
        <v>150</v>
      </c>
      <c r="E366">
        <v>11016.98</v>
      </c>
      <c r="F366" t="s">
        <v>361</v>
      </c>
      <c r="G366">
        <f t="shared" si="23"/>
        <v>150</v>
      </c>
      <c r="H366">
        <f>SUMIF($F$2:$F$552,A366,$G$2:$G$552)</f>
        <v>850</v>
      </c>
      <c r="I366" t="s">
        <v>475</v>
      </c>
    </row>
    <row r="367" spans="1:11" x14ac:dyDescent="0.25">
      <c r="A367" t="s">
        <v>345</v>
      </c>
      <c r="B367" s="4">
        <v>45924</v>
      </c>
      <c r="C367" t="s">
        <v>363</v>
      </c>
      <c r="D367">
        <v>100</v>
      </c>
      <c r="E367">
        <v>11116.98</v>
      </c>
      <c r="F367" t="s">
        <v>345</v>
      </c>
      <c r="G367">
        <f t="shared" si="23"/>
        <v>100</v>
      </c>
      <c r="H367">
        <f>SUMIF($F$2:$F$552,A367,$G$2:$G$552)</f>
        <v>1000</v>
      </c>
      <c r="I367" t="s">
        <v>475</v>
      </c>
    </row>
    <row r="368" spans="1:11" x14ac:dyDescent="0.25">
      <c r="A368" t="s">
        <v>24</v>
      </c>
      <c r="B368" s="4">
        <v>45929</v>
      </c>
      <c r="C368" t="s">
        <v>364</v>
      </c>
      <c r="D368">
        <v>100.09</v>
      </c>
      <c r="E368">
        <v>11217.07</v>
      </c>
      <c r="F368" t="s">
        <v>24</v>
      </c>
      <c r="G368">
        <f t="shared" si="23"/>
        <v>100.09</v>
      </c>
      <c r="H368">
        <f>SUMIF($F$2:$F$552,A368,$G$2:$G$552)</f>
        <v>4003.3300000000022</v>
      </c>
      <c r="I368" t="s">
        <v>475</v>
      </c>
    </row>
    <row r="369" spans="1:11" x14ac:dyDescent="0.25">
      <c r="B369" s="4"/>
    </row>
    <row r="370" spans="1:11" x14ac:dyDescent="0.25">
      <c r="B370" s="4"/>
    </row>
    <row r="371" spans="1:11" x14ac:dyDescent="0.25">
      <c r="B371" s="4">
        <v>45931</v>
      </c>
      <c r="C371" t="s">
        <v>365</v>
      </c>
      <c r="E371">
        <v>11217.07</v>
      </c>
    </row>
    <row r="372" spans="1:11" x14ac:dyDescent="0.25">
      <c r="A372" t="s">
        <v>361</v>
      </c>
      <c r="B372" s="4">
        <v>45933</v>
      </c>
      <c r="C372" t="s">
        <v>366</v>
      </c>
      <c r="D372">
        <v>100</v>
      </c>
      <c r="E372">
        <v>11317.07</v>
      </c>
      <c r="F372" t="s">
        <v>361</v>
      </c>
      <c r="G372">
        <f t="shared" ref="G372:G385" si="24">VALUE(D372)</f>
        <v>100</v>
      </c>
      <c r="H372">
        <f>SUMIF($F$2:$F$552,A372,$G$2:$G$552)</f>
        <v>850</v>
      </c>
      <c r="I372" t="s">
        <v>475</v>
      </c>
    </row>
    <row r="373" spans="1:11" x14ac:dyDescent="0.25">
      <c r="A373" t="s">
        <v>225</v>
      </c>
      <c r="B373" s="4">
        <v>45936</v>
      </c>
      <c r="C373" t="s">
        <v>226</v>
      </c>
      <c r="D373">
        <v>50.17</v>
      </c>
      <c r="E373">
        <v>11367.24</v>
      </c>
      <c r="F373" t="s">
        <v>225</v>
      </c>
      <c r="G373">
        <f t="shared" si="24"/>
        <v>50.17</v>
      </c>
      <c r="H373">
        <f>SUMIF($F$2:$F$552,A373,$G$2:$G$552)</f>
        <v>902.54999999999984</v>
      </c>
      <c r="I373" t="s">
        <v>475</v>
      </c>
    </row>
    <row r="374" spans="1:11" x14ac:dyDescent="0.25">
      <c r="B374" s="4">
        <v>45940</v>
      </c>
      <c r="C374" t="s">
        <v>367</v>
      </c>
      <c r="D374">
        <v>443.55</v>
      </c>
      <c r="E374">
        <v>11810.79</v>
      </c>
      <c r="G374">
        <f t="shared" si="24"/>
        <v>443.55</v>
      </c>
      <c r="H374">
        <f>SUMIF($F$2:$F$552,A374,$G$2:$G$552)</f>
        <v>0</v>
      </c>
      <c r="I374" t="s">
        <v>476</v>
      </c>
      <c r="K374" s="7" t="s">
        <v>68</v>
      </c>
    </row>
    <row r="375" spans="1:11" x14ac:dyDescent="0.25">
      <c r="A375" t="s">
        <v>42</v>
      </c>
      <c r="B375" s="4">
        <v>45940</v>
      </c>
      <c r="C375" t="s">
        <v>368</v>
      </c>
      <c r="D375">
        <v>150</v>
      </c>
      <c r="E375">
        <v>11960.79</v>
      </c>
      <c r="F375" t="s">
        <v>42</v>
      </c>
      <c r="G375">
        <f t="shared" si="24"/>
        <v>150</v>
      </c>
      <c r="H375">
        <f>SUMIF($F$2:$F$552,A375,$G$2:$G$552)</f>
        <v>3400.06</v>
      </c>
      <c r="I375" t="s">
        <v>475</v>
      </c>
    </row>
    <row r="376" spans="1:11" x14ac:dyDescent="0.25">
      <c r="A376" t="s">
        <v>68</v>
      </c>
      <c r="B376" s="4">
        <v>45940</v>
      </c>
      <c r="C376" t="s">
        <v>369</v>
      </c>
      <c r="D376">
        <v>100.13</v>
      </c>
      <c r="E376">
        <v>12060.92</v>
      </c>
      <c r="F376" t="s">
        <v>68</v>
      </c>
      <c r="G376">
        <f t="shared" si="24"/>
        <v>100.13</v>
      </c>
      <c r="H376">
        <f>SUMIF($F$2:$F$552,A376,$G$2:$G$552)</f>
        <v>3804.9400000000028</v>
      </c>
      <c r="I376" t="s">
        <v>475</v>
      </c>
    </row>
    <row r="377" spans="1:11" x14ac:dyDescent="0.25">
      <c r="A377" t="s">
        <v>33</v>
      </c>
      <c r="B377" s="4">
        <v>45944</v>
      </c>
      <c r="C377" t="s">
        <v>370</v>
      </c>
      <c r="D377">
        <v>100.07</v>
      </c>
      <c r="E377">
        <v>12160.99</v>
      </c>
      <c r="F377" t="s">
        <v>33</v>
      </c>
      <c r="G377">
        <f t="shared" si="24"/>
        <v>100.07</v>
      </c>
      <c r="H377">
        <f>SUMIF($F$2:$F$552,A377,$G$2:$G$552)</f>
        <v>2452.5199999999995</v>
      </c>
      <c r="I377" t="s">
        <v>475</v>
      </c>
    </row>
    <row r="378" spans="1:11" x14ac:dyDescent="0.25">
      <c r="A378" t="s">
        <v>270</v>
      </c>
      <c r="B378" s="4">
        <v>45944</v>
      </c>
      <c r="C378" t="s">
        <v>371</v>
      </c>
      <c r="D378">
        <v>50</v>
      </c>
      <c r="E378">
        <v>12210.99</v>
      </c>
      <c r="F378" t="s">
        <v>270</v>
      </c>
      <c r="G378">
        <f t="shared" si="24"/>
        <v>50</v>
      </c>
      <c r="H378">
        <f>SUMIF($F$2:$F$552,A378,$G$2:$G$552)</f>
        <v>750</v>
      </c>
      <c r="I378" t="s">
        <v>475</v>
      </c>
    </row>
    <row r="379" spans="1:11" x14ac:dyDescent="0.25">
      <c r="A379" t="s">
        <v>222</v>
      </c>
      <c r="B379" s="4">
        <v>45945</v>
      </c>
      <c r="C379" t="s">
        <v>372</v>
      </c>
      <c r="D379">
        <v>150.15</v>
      </c>
      <c r="E379">
        <v>12361.14</v>
      </c>
      <c r="F379" t="s">
        <v>222</v>
      </c>
      <c r="G379">
        <f t="shared" si="24"/>
        <v>150.15</v>
      </c>
      <c r="H379">
        <f>SUMIF($F$2:$F$552,A379,$G$2:$G$552)</f>
        <v>2717.5000000000005</v>
      </c>
      <c r="I379" t="s">
        <v>475</v>
      </c>
    </row>
    <row r="380" spans="1:11" x14ac:dyDescent="0.25">
      <c r="A380" t="s">
        <v>73</v>
      </c>
      <c r="B380" s="4">
        <v>45945</v>
      </c>
      <c r="C380" t="s">
        <v>373</v>
      </c>
      <c r="D380">
        <v>100.04</v>
      </c>
      <c r="E380">
        <v>12461.18</v>
      </c>
      <c r="F380" t="s">
        <v>73</v>
      </c>
      <c r="G380">
        <f t="shared" si="24"/>
        <v>100.04</v>
      </c>
      <c r="H380">
        <f>SUMIF($F$2:$F$552,A380,$G$2:$G$552)</f>
        <v>2400.8399999999997</v>
      </c>
      <c r="I380" t="s">
        <v>475</v>
      </c>
    </row>
    <row r="381" spans="1:11" x14ac:dyDescent="0.25">
      <c r="A381" t="s">
        <v>5</v>
      </c>
      <c r="B381" s="4">
        <v>45946</v>
      </c>
      <c r="C381" t="s">
        <v>65</v>
      </c>
      <c r="D381">
        <v>100.02</v>
      </c>
      <c r="E381">
        <v>12561.2</v>
      </c>
      <c r="F381" t="s">
        <v>5</v>
      </c>
      <c r="G381">
        <f t="shared" si="24"/>
        <v>100.02</v>
      </c>
      <c r="H381">
        <f>SUMIF($F$2:$F$552,A381,$G$2:$G$552)</f>
        <v>2700.7599999999998</v>
      </c>
      <c r="I381" t="s">
        <v>475</v>
      </c>
    </row>
    <row r="382" spans="1:11" x14ac:dyDescent="0.25">
      <c r="A382" t="s">
        <v>28</v>
      </c>
      <c r="B382" s="4">
        <v>45950</v>
      </c>
      <c r="C382" t="s">
        <v>374</v>
      </c>
      <c r="D382">
        <v>100</v>
      </c>
      <c r="E382">
        <v>12661.2</v>
      </c>
      <c r="F382" t="s">
        <v>28</v>
      </c>
      <c r="G382">
        <f t="shared" si="24"/>
        <v>100</v>
      </c>
      <c r="H382">
        <f>SUMIF($F$2:$F$552,A382,$G$2:$G$552)</f>
        <v>2356.04</v>
      </c>
      <c r="I382" t="s">
        <v>475</v>
      </c>
    </row>
    <row r="383" spans="1:11" x14ac:dyDescent="0.25">
      <c r="A383" t="s">
        <v>14</v>
      </c>
      <c r="B383" s="4">
        <v>45950</v>
      </c>
      <c r="C383" t="s">
        <v>375</v>
      </c>
      <c r="D383">
        <v>50.06</v>
      </c>
      <c r="E383">
        <v>12711.26</v>
      </c>
      <c r="F383" t="s">
        <v>14</v>
      </c>
      <c r="G383">
        <f t="shared" si="24"/>
        <v>50.06</v>
      </c>
      <c r="H383">
        <f>SUMIF($F$2:$F$552,A383,$G$2:$G$552)</f>
        <v>2821.3799999999992</v>
      </c>
      <c r="I383" t="s">
        <v>475</v>
      </c>
    </row>
    <row r="384" spans="1:11" x14ac:dyDescent="0.25">
      <c r="B384" s="4">
        <v>45954</v>
      </c>
      <c r="C384" t="s">
        <v>376</v>
      </c>
      <c r="D384">
        <v>434.34</v>
      </c>
      <c r="E384">
        <v>13145.6</v>
      </c>
      <c r="G384">
        <f t="shared" si="24"/>
        <v>434.34</v>
      </c>
      <c r="H384">
        <f>SUMIF($F$2:$F$552,A384,$G$2:$G$552)</f>
        <v>0</v>
      </c>
      <c r="I384" t="s">
        <v>476</v>
      </c>
      <c r="K384" t="s">
        <v>14</v>
      </c>
    </row>
    <row r="385" spans="1:11" x14ac:dyDescent="0.25">
      <c r="A385" t="s">
        <v>24</v>
      </c>
      <c r="B385" s="4">
        <v>45958</v>
      </c>
      <c r="C385" t="s">
        <v>377</v>
      </c>
      <c r="D385">
        <v>100.09</v>
      </c>
      <c r="E385">
        <v>13245.69</v>
      </c>
      <c r="F385" t="s">
        <v>24</v>
      </c>
      <c r="G385">
        <f t="shared" si="24"/>
        <v>100.09</v>
      </c>
      <c r="H385">
        <f>SUMIF($F$2:$F$552,A385,$G$2:$G$552)</f>
        <v>4003.3300000000022</v>
      </c>
      <c r="I385" t="s">
        <v>475</v>
      </c>
    </row>
    <row r="386" spans="1:11" x14ac:dyDescent="0.25">
      <c r="B386" s="4"/>
    </row>
    <row r="387" spans="1:11" x14ac:dyDescent="0.25">
      <c r="B387" s="4"/>
    </row>
    <row r="388" spans="1:11" x14ac:dyDescent="0.25">
      <c r="B388" s="4"/>
    </row>
    <row r="389" spans="1:11" x14ac:dyDescent="0.25">
      <c r="A389" t="s">
        <v>361</v>
      </c>
      <c r="B389" s="4">
        <v>45964</v>
      </c>
      <c r="C389" t="s">
        <v>378</v>
      </c>
      <c r="D389">
        <v>100</v>
      </c>
      <c r="E389">
        <v>13345.69</v>
      </c>
      <c r="F389" t="s">
        <v>361</v>
      </c>
      <c r="G389">
        <f t="shared" ref="G389:G418" si="25">VALUE(D389)</f>
        <v>100</v>
      </c>
      <c r="H389">
        <f>SUMIF($F$2:$F$552,A389,$G$2:$G$552)</f>
        <v>850</v>
      </c>
      <c r="I389" t="s">
        <v>475</v>
      </c>
    </row>
    <row r="390" spans="1:11" x14ac:dyDescent="0.25">
      <c r="A390" t="s">
        <v>345</v>
      </c>
      <c r="B390" s="4">
        <v>45965</v>
      </c>
      <c r="C390" t="s">
        <v>379</v>
      </c>
      <c r="D390">
        <v>100</v>
      </c>
      <c r="E390">
        <v>13445.69</v>
      </c>
      <c r="F390" t="s">
        <v>345</v>
      </c>
      <c r="G390">
        <f t="shared" si="25"/>
        <v>100</v>
      </c>
      <c r="H390">
        <f>SUMIF($F$2:$F$552,A390,$G$2:$G$552)</f>
        <v>1000</v>
      </c>
      <c r="I390" t="s">
        <v>475</v>
      </c>
    </row>
    <row r="391" spans="1:11" x14ac:dyDescent="0.25">
      <c r="A391" t="s">
        <v>33</v>
      </c>
      <c r="B391" s="4">
        <v>45966</v>
      </c>
      <c r="C391" t="s">
        <v>380</v>
      </c>
      <c r="D391">
        <v>50.07</v>
      </c>
      <c r="E391">
        <v>13495.76</v>
      </c>
      <c r="F391" t="s">
        <v>33</v>
      </c>
      <c r="G391">
        <f t="shared" si="25"/>
        <v>50.07</v>
      </c>
      <c r="H391">
        <f>SUMIF($F$2:$F$552,A391,$G$2:$G$552)</f>
        <v>2452.5199999999995</v>
      </c>
      <c r="I391" t="s">
        <v>475</v>
      </c>
    </row>
    <row r="392" spans="1:11" x14ac:dyDescent="0.25">
      <c r="A392" t="s">
        <v>270</v>
      </c>
      <c r="B392" s="4">
        <v>45966</v>
      </c>
      <c r="C392" t="s">
        <v>381</v>
      </c>
      <c r="D392">
        <v>50</v>
      </c>
      <c r="E392">
        <v>13545.76</v>
      </c>
      <c r="F392" t="s">
        <v>270</v>
      </c>
      <c r="G392">
        <f t="shared" si="25"/>
        <v>50</v>
      </c>
      <c r="H392">
        <f>SUMIF($F$2:$F$552,A392,$G$2:$G$552)</f>
        <v>750</v>
      </c>
      <c r="I392" t="s">
        <v>475</v>
      </c>
    </row>
    <row r="393" spans="1:11" x14ac:dyDescent="0.25">
      <c r="B393" s="4">
        <v>45967</v>
      </c>
      <c r="C393" t="s">
        <v>382</v>
      </c>
      <c r="D393">
        <v>600</v>
      </c>
      <c r="E393">
        <v>14145.76</v>
      </c>
      <c r="G393">
        <f t="shared" si="25"/>
        <v>600</v>
      </c>
      <c r="H393">
        <f>SUMIF($F$2:$F$552,A393,$G$2:$G$552)</f>
        <v>0</v>
      </c>
      <c r="I393" t="s">
        <v>476</v>
      </c>
      <c r="K393" t="s">
        <v>19</v>
      </c>
    </row>
    <row r="394" spans="1:11" x14ac:dyDescent="0.25">
      <c r="B394" s="4">
        <v>45968</v>
      </c>
      <c r="C394" t="s">
        <v>383</v>
      </c>
      <c r="D394">
        <v>443.55</v>
      </c>
      <c r="E394">
        <v>14589.31</v>
      </c>
      <c r="G394">
        <f t="shared" si="25"/>
        <v>443.55</v>
      </c>
      <c r="H394">
        <f>SUMIF($F$2:$F$552,A394,$G$2:$G$552)</f>
        <v>0</v>
      </c>
      <c r="I394" t="s">
        <v>476</v>
      </c>
      <c r="K394" s="7" t="s">
        <v>68</v>
      </c>
    </row>
    <row r="395" spans="1:11" x14ac:dyDescent="0.25">
      <c r="A395" t="s">
        <v>68</v>
      </c>
      <c r="B395" s="4">
        <v>45968</v>
      </c>
      <c r="C395" t="s">
        <v>384</v>
      </c>
      <c r="D395">
        <v>100.13</v>
      </c>
      <c r="E395">
        <v>14689.44</v>
      </c>
      <c r="F395" t="s">
        <v>68</v>
      </c>
      <c r="G395">
        <f t="shared" si="25"/>
        <v>100.13</v>
      </c>
      <c r="H395">
        <f>SUMIF($F$2:$F$552,A395,$G$2:$G$552)</f>
        <v>3804.9400000000028</v>
      </c>
      <c r="I395" t="s">
        <v>475</v>
      </c>
    </row>
    <row r="396" spans="1:11" x14ac:dyDescent="0.25">
      <c r="A396" t="s">
        <v>231</v>
      </c>
      <c r="B396" s="4">
        <v>45971</v>
      </c>
      <c r="C396" t="s">
        <v>385</v>
      </c>
      <c r="D396">
        <v>100</v>
      </c>
      <c r="E396">
        <v>14789.44</v>
      </c>
      <c r="F396" t="s">
        <v>231</v>
      </c>
      <c r="G396">
        <f t="shared" si="25"/>
        <v>100</v>
      </c>
      <c r="H396">
        <f>SUMIF($F$2:$F$552,A396,$G$2:$G$552)</f>
        <v>650</v>
      </c>
      <c r="I396" t="s">
        <v>475</v>
      </c>
    </row>
    <row r="397" spans="1:11" x14ac:dyDescent="0.25">
      <c r="A397" t="s">
        <v>225</v>
      </c>
      <c r="B397" s="4">
        <v>45973</v>
      </c>
      <c r="C397" t="s">
        <v>226</v>
      </c>
      <c r="D397">
        <v>50.17</v>
      </c>
      <c r="E397">
        <v>14839.61</v>
      </c>
      <c r="F397" t="s">
        <v>225</v>
      </c>
      <c r="G397">
        <f t="shared" si="25"/>
        <v>50.17</v>
      </c>
      <c r="H397">
        <f>SUMIF($F$2:$F$552,A397,$G$2:$G$552)</f>
        <v>902.54999999999984</v>
      </c>
      <c r="I397" t="s">
        <v>475</v>
      </c>
    </row>
    <row r="398" spans="1:11" x14ac:dyDescent="0.25">
      <c r="A398" t="s">
        <v>222</v>
      </c>
      <c r="B398" s="4">
        <v>45978</v>
      </c>
      <c r="C398" t="s">
        <v>386</v>
      </c>
      <c r="D398">
        <v>150.15</v>
      </c>
      <c r="E398">
        <v>14989.76</v>
      </c>
      <c r="F398" t="s">
        <v>222</v>
      </c>
      <c r="G398">
        <f t="shared" si="25"/>
        <v>150.15</v>
      </c>
      <c r="H398">
        <f>SUMIF($F$2:$F$552,A398,$G$2:$G$552)</f>
        <v>2717.5000000000005</v>
      </c>
      <c r="I398" t="s">
        <v>475</v>
      </c>
    </row>
    <row r="399" spans="1:11" x14ac:dyDescent="0.25">
      <c r="A399" t="s">
        <v>73</v>
      </c>
      <c r="B399" s="4">
        <v>45978</v>
      </c>
      <c r="C399" t="s">
        <v>387</v>
      </c>
      <c r="D399">
        <v>100.04</v>
      </c>
      <c r="E399">
        <v>15089.8</v>
      </c>
      <c r="F399" t="s">
        <v>73</v>
      </c>
      <c r="G399">
        <f t="shared" si="25"/>
        <v>100.04</v>
      </c>
      <c r="H399">
        <f>SUMIF($F$2:$F$552,A399,$G$2:$G$552)</f>
        <v>2400.8399999999997</v>
      </c>
      <c r="I399" t="s">
        <v>475</v>
      </c>
    </row>
    <row r="400" spans="1:11" x14ac:dyDescent="0.25">
      <c r="A400" t="s">
        <v>5</v>
      </c>
      <c r="B400" s="4">
        <v>45978</v>
      </c>
      <c r="C400" t="s">
        <v>65</v>
      </c>
      <c r="D400">
        <v>100.02</v>
      </c>
      <c r="E400">
        <v>15189.82</v>
      </c>
      <c r="F400" t="s">
        <v>5</v>
      </c>
      <c r="G400">
        <f t="shared" si="25"/>
        <v>100.02</v>
      </c>
      <c r="H400">
        <f>SUMIF($F$2:$F$552,A400,$G$2:$G$552)</f>
        <v>2700.7599999999998</v>
      </c>
      <c r="I400" t="s">
        <v>475</v>
      </c>
    </row>
    <row r="401" spans="1:11" x14ac:dyDescent="0.25">
      <c r="A401" t="s">
        <v>14</v>
      </c>
      <c r="B401" s="4">
        <v>45978</v>
      </c>
      <c r="C401" t="s">
        <v>388</v>
      </c>
      <c r="D401">
        <v>50.06</v>
      </c>
      <c r="E401">
        <v>15239.88</v>
      </c>
      <c r="F401" t="s">
        <v>14</v>
      </c>
      <c r="G401">
        <f t="shared" si="25"/>
        <v>50.06</v>
      </c>
      <c r="H401">
        <f>SUMIF($F$2:$F$552,A401,$G$2:$G$552)</f>
        <v>2821.3799999999992</v>
      </c>
      <c r="I401" t="s">
        <v>475</v>
      </c>
    </row>
    <row r="402" spans="1:11" x14ac:dyDescent="0.25">
      <c r="B402" s="4">
        <v>45985</v>
      </c>
      <c r="C402" t="s">
        <v>389</v>
      </c>
      <c r="D402">
        <v>434.34</v>
      </c>
      <c r="E402">
        <v>15674.22</v>
      </c>
      <c r="G402">
        <f t="shared" si="25"/>
        <v>434.34</v>
      </c>
      <c r="H402">
        <f>SUMIF($F$2:$F$552,A402,$G$2:$G$552)</f>
        <v>0</v>
      </c>
      <c r="I402" t="s">
        <v>476</v>
      </c>
      <c r="K402" t="s">
        <v>14</v>
      </c>
    </row>
    <row r="403" spans="1:11" x14ac:dyDescent="0.25">
      <c r="A403" t="s">
        <v>345</v>
      </c>
      <c r="B403" s="4">
        <v>45987</v>
      </c>
      <c r="C403" t="s">
        <v>390</v>
      </c>
      <c r="D403">
        <v>100</v>
      </c>
      <c r="E403">
        <v>15774.22</v>
      </c>
      <c r="F403" t="s">
        <v>345</v>
      </c>
      <c r="G403">
        <f t="shared" si="25"/>
        <v>100</v>
      </c>
      <c r="H403">
        <f>SUMIF($F$2:$F$552,A403,$G$2:$G$552)</f>
        <v>1000</v>
      </c>
      <c r="I403" t="s">
        <v>475</v>
      </c>
    </row>
    <row r="404" spans="1:11" x14ac:dyDescent="0.25">
      <c r="A404" t="s">
        <v>24</v>
      </c>
      <c r="B404" s="4">
        <v>45989</v>
      </c>
      <c r="C404" t="s">
        <v>391</v>
      </c>
      <c r="D404">
        <v>100.09</v>
      </c>
      <c r="E404">
        <v>15874.31</v>
      </c>
      <c r="F404" t="s">
        <v>24</v>
      </c>
      <c r="G404">
        <f t="shared" si="25"/>
        <v>100.09</v>
      </c>
      <c r="H404">
        <f>SUMIF($F$2:$F$552,A404,$G$2:$G$552)</f>
        <v>4003.3300000000022</v>
      </c>
      <c r="I404" t="s">
        <v>475</v>
      </c>
    </row>
    <row r="405" spans="1:11" x14ac:dyDescent="0.25">
      <c r="B405" s="4"/>
    </row>
    <row r="406" spans="1:11" x14ac:dyDescent="0.25">
      <c r="B406" s="4"/>
    </row>
    <row r="407" spans="1:11" x14ac:dyDescent="0.25">
      <c r="B407" s="4"/>
    </row>
    <row r="408" spans="1:11" x14ac:dyDescent="0.25">
      <c r="A408" t="s">
        <v>361</v>
      </c>
      <c r="B408" s="4">
        <v>45994</v>
      </c>
      <c r="C408" t="s">
        <v>392</v>
      </c>
      <c r="D408">
        <v>100</v>
      </c>
      <c r="E408">
        <v>15974.31</v>
      </c>
      <c r="F408" t="s">
        <v>361</v>
      </c>
      <c r="G408">
        <f t="shared" si="25"/>
        <v>100</v>
      </c>
      <c r="H408">
        <f>SUMIF($F$2:$F$552,A408,$G$2:$G$552)</f>
        <v>850</v>
      </c>
      <c r="I408" t="s">
        <v>475</v>
      </c>
    </row>
    <row r="409" spans="1:11" x14ac:dyDescent="0.25">
      <c r="A409" t="s">
        <v>225</v>
      </c>
      <c r="B409" s="4">
        <v>46001</v>
      </c>
      <c r="C409" t="s">
        <v>226</v>
      </c>
      <c r="D409">
        <v>50.17</v>
      </c>
      <c r="E409">
        <v>16024.48</v>
      </c>
      <c r="F409" t="s">
        <v>225</v>
      </c>
      <c r="G409">
        <f t="shared" si="25"/>
        <v>50.17</v>
      </c>
      <c r="H409">
        <f>SUMIF($F$2:$F$552,A409,$G$2:$G$552)</f>
        <v>902.54999999999984</v>
      </c>
      <c r="I409" t="s">
        <v>475</v>
      </c>
    </row>
    <row r="410" spans="1:11" x14ac:dyDescent="0.25">
      <c r="A410" t="s">
        <v>73</v>
      </c>
      <c r="B410" s="4">
        <v>46006</v>
      </c>
      <c r="C410" t="s">
        <v>393</v>
      </c>
      <c r="D410">
        <v>100.04</v>
      </c>
      <c r="E410">
        <v>16124.52</v>
      </c>
      <c r="F410" t="s">
        <v>73</v>
      </c>
      <c r="G410">
        <f t="shared" si="25"/>
        <v>100.04</v>
      </c>
      <c r="H410">
        <f>SUMIF($F$2:$F$552,A410,$G$2:$G$552)</f>
        <v>2400.8399999999997</v>
      </c>
      <c r="I410" t="s">
        <v>475</v>
      </c>
    </row>
    <row r="411" spans="1:11" x14ac:dyDescent="0.25">
      <c r="A411" t="s">
        <v>345</v>
      </c>
      <c r="B411" s="4">
        <v>46006</v>
      </c>
      <c r="C411" t="s">
        <v>394</v>
      </c>
      <c r="D411">
        <v>100</v>
      </c>
      <c r="E411">
        <v>16224.52</v>
      </c>
      <c r="F411" t="s">
        <v>345</v>
      </c>
      <c r="G411">
        <f t="shared" si="25"/>
        <v>100</v>
      </c>
      <c r="H411">
        <f>SUMIF($F$2:$F$552,A411,$G$2:$G$552)</f>
        <v>1000</v>
      </c>
      <c r="I411" t="s">
        <v>475</v>
      </c>
    </row>
    <row r="412" spans="1:11" x14ac:dyDescent="0.25">
      <c r="B412" s="4">
        <v>46007</v>
      </c>
      <c r="C412" t="s">
        <v>395</v>
      </c>
      <c r="D412">
        <v>443.55</v>
      </c>
      <c r="E412">
        <v>16668.07</v>
      </c>
      <c r="G412">
        <f t="shared" si="25"/>
        <v>443.55</v>
      </c>
      <c r="H412">
        <f>SUMIF($F$2:$F$552,A412,$G$2:$G$552)</f>
        <v>0</v>
      </c>
      <c r="I412" t="s">
        <v>476</v>
      </c>
      <c r="K412" s="7" t="s">
        <v>68</v>
      </c>
    </row>
    <row r="413" spans="1:11" x14ac:dyDescent="0.25">
      <c r="A413" t="s">
        <v>5</v>
      </c>
      <c r="B413" s="4">
        <v>46007</v>
      </c>
      <c r="C413" t="s">
        <v>65</v>
      </c>
      <c r="D413">
        <v>100.02</v>
      </c>
      <c r="E413">
        <v>16768.09</v>
      </c>
      <c r="F413" t="s">
        <v>5</v>
      </c>
      <c r="G413">
        <f t="shared" si="25"/>
        <v>100.02</v>
      </c>
      <c r="H413">
        <f>SUMIF($F$2:$F$552,A413,$G$2:$G$552)</f>
        <v>2700.7599999999998</v>
      </c>
      <c r="I413" t="s">
        <v>475</v>
      </c>
    </row>
    <row r="414" spans="1:11" x14ac:dyDescent="0.25">
      <c r="A414" t="s">
        <v>68</v>
      </c>
      <c r="B414" s="4">
        <v>46010</v>
      </c>
      <c r="C414" t="s">
        <v>396</v>
      </c>
      <c r="D414">
        <v>100.13</v>
      </c>
      <c r="E414">
        <v>16868.22</v>
      </c>
      <c r="F414" t="s">
        <v>68</v>
      </c>
      <c r="G414">
        <f t="shared" si="25"/>
        <v>100.13</v>
      </c>
      <c r="H414">
        <f>SUMIF($F$2:$F$552,A414,$G$2:$G$552)</f>
        <v>3804.9400000000028</v>
      </c>
      <c r="I414" t="s">
        <v>475</v>
      </c>
    </row>
    <row r="415" spans="1:11" x14ac:dyDescent="0.25">
      <c r="B415" s="4">
        <v>46015</v>
      </c>
      <c r="C415" t="s">
        <v>397</v>
      </c>
      <c r="D415">
        <v>443.34</v>
      </c>
      <c r="E415">
        <v>17311.560000000001</v>
      </c>
      <c r="G415">
        <f t="shared" si="25"/>
        <v>443.34</v>
      </c>
      <c r="H415">
        <f>SUMIF($F$2:$F$552,A415,$G$2:$G$552)</f>
        <v>0</v>
      </c>
      <c r="I415" t="s">
        <v>476</v>
      </c>
    </row>
    <row r="416" spans="1:11" x14ac:dyDescent="0.25">
      <c r="A416" t="s">
        <v>24</v>
      </c>
      <c r="B416" s="4">
        <v>46020</v>
      </c>
      <c r="C416" t="s">
        <v>398</v>
      </c>
      <c r="D416">
        <v>100.09</v>
      </c>
      <c r="E416">
        <v>17411.650000000001</v>
      </c>
      <c r="F416" t="s">
        <v>24</v>
      </c>
      <c r="G416">
        <f t="shared" si="25"/>
        <v>100.09</v>
      </c>
      <c r="H416">
        <f>SUMIF($F$2:$F$552,A416,$G$2:$G$552)</f>
        <v>4003.3300000000022</v>
      </c>
      <c r="I416" t="s">
        <v>475</v>
      </c>
    </row>
    <row r="417" spans="1:11" x14ac:dyDescent="0.25">
      <c r="A417" t="s">
        <v>14</v>
      </c>
      <c r="B417" s="4">
        <v>46020</v>
      </c>
      <c r="C417" t="s">
        <v>399</v>
      </c>
      <c r="D417">
        <v>50.06</v>
      </c>
      <c r="E417">
        <v>17461.71</v>
      </c>
      <c r="F417" t="s">
        <v>14</v>
      </c>
      <c r="G417">
        <f t="shared" si="25"/>
        <v>50.06</v>
      </c>
      <c r="H417">
        <f>SUMIF($F$2:$F$552,A417,$G$2:$G$552)</f>
        <v>2821.3799999999992</v>
      </c>
      <c r="I417" t="s">
        <v>475</v>
      </c>
    </row>
    <row r="418" spans="1:11" x14ac:dyDescent="0.25">
      <c r="B418" s="4">
        <v>46020</v>
      </c>
      <c r="C418" t="s">
        <v>400</v>
      </c>
      <c r="D418">
        <v>-490</v>
      </c>
      <c r="E418">
        <v>16971.71</v>
      </c>
      <c r="G418">
        <f t="shared" si="25"/>
        <v>-490</v>
      </c>
      <c r="H418">
        <f>SUMIF($F$2:$F$552,A418,$G$2:$G$552)</f>
        <v>0</v>
      </c>
      <c r="I418" t="s">
        <v>477</v>
      </c>
      <c r="K418" t="s">
        <v>241</v>
      </c>
    </row>
    <row r="419" spans="1:11" x14ac:dyDescent="0.25">
      <c r="B419" s="3"/>
    </row>
    <row r="420" spans="1:11" x14ac:dyDescent="0.25">
      <c r="B420" s="4">
        <v>46024</v>
      </c>
      <c r="C420" t="s">
        <v>401</v>
      </c>
      <c r="D420">
        <v>522</v>
      </c>
      <c r="E420">
        <v>17493.71</v>
      </c>
      <c r="H420">
        <f>SUMIF($F$2:$F$552,A420,$G$2:$G$552)</f>
        <v>0</v>
      </c>
      <c r="I420" t="s">
        <v>476</v>
      </c>
      <c r="K420" t="s">
        <v>487</v>
      </c>
    </row>
    <row r="421" spans="1:11" x14ac:dyDescent="0.25">
      <c r="A421" t="s">
        <v>361</v>
      </c>
      <c r="B421" s="4">
        <v>46027</v>
      </c>
      <c r="C421" t="s">
        <v>402</v>
      </c>
      <c r="D421">
        <v>100</v>
      </c>
      <c r="E421">
        <v>17593.71</v>
      </c>
      <c r="F421" t="s">
        <v>361</v>
      </c>
      <c r="G421">
        <f t="shared" ref="G421:G431" si="26">VALUE(D421)</f>
        <v>100</v>
      </c>
      <c r="H421">
        <f>SUMIF($F$2:$F$552,A421,$G$2:$G$552)</f>
        <v>850</v>
      </c>
      <c r="I421" t="s">
        <v>475</v>
      </c>
    </row>
    <row r="422" spans="1:11" x14ac:dyDescent="0.25">
      <c r="A422" t="s">
        <v>225</v>
      </c>
      <c r="B422" s="4">
        <v>46036</v>
      </c>
      <c r="C422" t="s">
        <v>226</v>
      </c>
      <c r="D422">
        <v>50.17</v>
      </c>
      <c r="E422">
        <v>17643.88</v>
      </c>
      <c r="F422" t="s">
        <v>225</v>
      </c>
      <c r="G422">
        <f t="shared" si="26"/>
        <v>50.17</v>
      </c>
      <c r="H422">
        <f>SUMIF($F$2:$F$552,A422,$G$2:$G$552)</f>
        <v>902.54999999999984</v>
      </c>
      <c r="I422" t="s">
        <v>475</v>
      </c>
    </row>
    <row r="423" spans="1:11" x14ac:dyDescent="0.25">
      <c r="A423" t="s">
        <v>73</v>
      </c>
      <c r="B423" s="4">
        <v>46037</v>
      </c>
      <c r="C423" t="s">
        <v>403</v>
      </c>
      <c r="D423">
        <v>100.04</v>
      </c>
      <c r="E423">
        <v>17743.919999999998</v>
      </c>
      <c r="F423" t="s">
        <v>73</v>
      </c>
      <c r="G423">
        <f t="shared" si="26"/>
        <v>100.04</v>
      </c>
      <c r="H423">
        <f>SUMIF($F$2:$F$552,A423,$G$2:$G$552)</f>
        <v>2400.8399999999997</v>
      </c>
      <c r="I423" t="s">
        <v>475</v>
      </c>
    </row>
    <row r="424" spans="1:11" x14ac:dyDescent="0.25">
      <c r="B424" s="4">
        <v>46038</v>
      </c>
      <c r="C424" t="s">
        <v>404</v>
      </c>
      <c r="D424">
        <v>443.55</v>
      </c>
      <c r="E424">
        <v>18187.47</v>
      </c>
      <c r="H424">
        <f>SUMIF($F$2:$F$552,A424,$G$2:$G$552)</f>
        <v>0</v>
      </c>
      <c r="I424" t="s">
        <v>476</v>
      </c>
      <c r="K424" s="7" t="s">
        <v>68</v>
      </c>
    </row>
    <row r="425" spans="1:11" x14ac:dyDescent="0.25">
      <c r="A425" t="s">
        <v>68</v>
      </c>
      <c r="B425" s="4">
        <v>46038</v>
      </c>
      <c r="C425" t="s">
        <v>405</v>
      </c>
      <c r="D425">
        <v>100.13</v>
      </c>
      <c r="E425">
        <v>18287.599999999999</v>
      </c>
      <c r="F425" t="s">
        <v>68</v>
      </c>
      <c r="G425">
        <f t="shared" si="26"/>
        <v>100.13</v>
      </c>
      <c r="H425">
        <f>SUMIF($F$2:$F$552,A425,$G$2:$G$552)</f>
        <v>3804.9400000000028</v>
      </c>
      <c r="I425" t="s">
        <v>475</v>
      </c>
    </row>
    <row r="426" spans="1:11" x14ac:dyDescent="0.25">
      <c r="A426" t="s">
        <v>5</v>
      </c>
      <c r="B426" s="4">
        <v>46038</v>
      </c>
      <c r="C426" t="s">
        <v>65</v>
      </c>
      <c r="D426">
        <v>100.02</v>
      </c>
      <c r="E426">
        <v>18387.62</v>
      </c>
      <c r="F426" t="s">
        <v>5</v>
      </c>
      <c r="G426">
        <f t="shared" si="26"/>
        <v>100.02</v>
      </c>
      <c r="H426">
        <f>SUMIF($F$2:$F$552,A426,$G$2:$G$552)</f>
        <v>2700.7599999999998</v>
      </c>
      <c r="I426" t="s">
        <v>475</v>
      </c>
    </row>
    <row r="427" spans="1:11" x14ac:dyDescent="0.25">
      <c r="A427" t="s">
        <v>345</v>
      </c>
      <c r="B427" s="4">
        <v>46048</v>
      </c>
      <c r="C427" t="s">
        <v>406</v>
      </c>
      <c r="D427">
        <v>100</v>
      </c>
      <c r="E427">
        <v>18487.62</v>
      </c>
      <c r="F427" t="s">
        <v>345</v>
      </c>
      <c r="G427">
        <f t="shared" si="26"/>
        <v>100</v>
      </c>
      <c r="H427">
        <f>SUMIF($F$2:$F$552,A427,$G$2:$G$552)</f>
        <v>1000</v>
      </c>
      <c r="I427" t="s">
        <v>475</v>
      </c>
    </row>
    <row r="428" spans="1:11" x14ac:dyDescent="0.25">
      <c r="B428" s="4">
        <v>46049</v>
      </c>
      <c r="C428" t="s">
        <v>407</v>
      </c>
      <c r="D428">
        <v>434.34</v>
      </c>
      <c r="E428">
        <v>18921.96</v>
      </c>
      <c r="H428">
        <f>SUMIF($F$2:$F$552,A428,$G$2:$G$552)</f>
        <v>0</v>
      </c>
      <c r="I428" t="s">
        <v>476</v>
      </c>
      <c r="K428" t="s">
        <v>14</v>
      </c>
    </row>
    <row r="429" spans="1:11" x14ac:dyDescent="0.25">
      <c r="A429" t="s">
        <v>33</v>
      </c>
      <c r="B429" s="4">
        <v>46049</v>
      </c>
      <c r="C429" t="s">
        <v>408</v>
      </c>
      <c r="D429">
        <v>100.07</v>
      </c>
      <c r="E429">
        <v>19022.03</v>
      </c>
      <c r="F429" t="s">
        <v>33</v>
      </c>
      <c r="G429">
        <f t="shared" si="26"/>
        <v>100.07</v>
      </c>
      <c r="H429">
        <f>SUMIF($F$2:$F$552,A429,$G$2:$G$552)</f>
        <v>2452.5199999999995</v>
      </c>
      <c r="I429" t="s">
        <v>475</v>
      </c>
    </row>
    <row r="430" spans="1:11" x14ac:dyDescent="0.25">
      <c r="A430" t="s">
        <v>14</v>
      </c>
      <c r="B430" s="4">
        <v>46049</v>
      </c>
      <c r="C430" t="s">
        <v>409</v>
      </c>
      <c r="D430">
        <v>50.06</v>
      </c>
      <c r="E430">
        <v>19072.09</v>
      </c>
      <c r="F430" t="s">
        <v>14</v>
      </c>
      <c r="G430">
        <f t="shared" si="26"/>
        <v>50.06</v>
      </c>
      <c r="H430">
        <f>SUMIF($F$2:$F$552,A430,$G$2:$G$552)</f>
        <v>2821.3799999999992</v>
      </c>
      <c r="I430" t="s">
        <v>475</v>
      </c>
    </row>
    <row r="431" spans="1:11" x14ac:dyDescent="0.25">
      <c r="A431" t="s">
        <v>24</v>
      </c>
      <c r="B431" s="4">
        <v>46050</v>
      </c>
      <c r="C431" t="s">
        <v>410</v>
      </c>
      <c r="D431">
        <v>100.09</v>
      </c>
      <c r="E431">
        <v>19172.18</v>
      </c>
      <c r="F431" t="s">
        <v>24</v>
      </c>
      <c r="G431">
        <f t="shared" si="26"/>
        <v>100.09</v>
      </c>
      <c r="H431">
        <f>SUMIF($F$2:$F$552,A431,$G$2:$G$552)</f>
        <v>4003.3300000000022</v>
      </c>
      <c r="I431" t="s">
        <v>475</v>
      </c>
    </row>
    <row r="432" spans="1:11" x14ac:dyDescent="0.25">
      <c r="B432" s="4"/>
    </row>
    <row r="433" spans="1:11" x14ac:dyDescent="0.25">
      <c r="A433" t="s">
        <v>361</v>
      </c>
      <c r="B433" s="4">
        <v>46056</v>
      </c>
      <c r="C433" t="s">
        <v>411</v>
      </c>
      <c r="D433">
        <v>100</v>
      </c>
      <c r="E433" s="5">
        <v>19272.18</v>
      </c>
      <c r="F433" t="s">
        <v>361</v>
      </c>
      <c r="G433">
        <f>VALUE(D433)</f>
        <v>100</v>
      </c>
      <c r="H433">
        <f>SUMIF($F$2:$F$552,A433,$G$2:$G$552)</f>
        <v>850</v>
      </c>
      <c r="I433" t="s">
        <v>475</v>
      </c>
    </row>
    <row r="434" spans="1:11" x14ac:dyDescent="0.25">
      <c r="A434" t="s">
        <v>28</v>
      </c>
      <c r="B434" s="4">
        <v>46062</v>
      </c>
      <c r="C434" t="s">
        <v>412</v>
      </c>
      <c r="D434">
        <v>50</v>
      </c>
      <c r="E434" s="5">
        <v>19322.18</v>
      </c>
      <c r="F434" t="s">
        <v>28</v>
      </c>
      <c r="G434">
        <f>VALUE(D434)</f>
        <v>50</v>
      </c>
      <c r="H434">
        <f>SUMIF($F$2:$F$552,A434,$G$2:$G$552)</f>
        <v>2356.04</v>
      </c>
      <c r="I434" t="s">
        <v>475</v>
      </c>
    </row>
    <row r="435" spans="1:11" x14ac:dyDescent="0.25">
      <c r="A435" t="s">
        <v>19</v>
      </c>
      <c r="B435" s="4">
        <v>46063</v>
      </c>
      <c r="C435" t="s">
        <v>413</v>
      </c>
      <c r="D435">
        <v>100</v>
      </c>
      <c r="E435" s="5">
        <v>19422.18</v>
      </c>
      <c r="F435" t="s">
        <v>19</v>
      </c>
      <c r="G435">
        <f>VALUE(D435)</f>
        <v>100</v>
      </c>
      <c r="H435">
        <f>SUMIF($F$2:$F$552,A435,$G$2:$G$552)</f>
        <v>4400.2000000000007</v>
      </c>
      <c r="I435" t="s">
        <v>475</v>
      </c>
    </row>
    <row r="436" spans="1:11" x14ac:dyDescent="0.25">
      <c r="A436" t="s">
        <v>42</v>
      </c>
      <c r="B436" s="4">
        <v>46063</v>
      </c>
      <c r="C436" t="s">
        <v>414</v>
      </c>
      <c r="D436">
        <v>50</v>
      </c>
      <c r="E436" s="5">
        <v>19472.18</v>
      </c>
      <c r="F436" t="s">
        <v>42</v>
      </c>
      <c r="G436">
        <f>VALUE(D436)</f>
        <v>50</v>
      </c>
      <c r="H436">
        <f>SUMIF($F$2:$F$552,A436,$G$2:$G$552)</f>
        <v>3400.06</v>
      </c>
      <c r="I436" t="s">
        <v>475</v>
      </c>
    </row>
    <row r="437" spans="1:11" x14ac:dyDescent="0.25">
      <c r="B437" s="4">
        <v>46066</v>
      </c>
      <c r="C437" t="s">
        <v>415</v>
      </c>
      <c r="D437">
        <v>443.55</v>
      </c>
      <c r="E437" s="5">
        <v>19915.73</v>
      </c>
      <c r="I437" t="s">
        <v>476</v>
      </c>
      <c r="K437" s="7" t="s">
        <v>68</v>
      </c>
    </row>
    <row r="438" spans="1:11" x14ac:dyDescent="0.25">
      <c r="A438" t="s">
        <v>68</v>
      </c>
      <c r="B438" s="4">
        <v>46066</v>
      </c>
      <c r="C438" t="s">
        <v>416</v>
      </c>
      <c r="D438">
        <v>100.13</v>
      </c>
      <c r="E438" s="5">
        <v>20015.86</v>
      </c>
      <c r="F438" t="s">
        <v>68</v>
      </c>
      <c r="G438">
        <f>VALUE(D438)</f>
        <v>100.13</v>
      </c>
      <c r="H438">
        <f>SUMIF($F$2:$F$552,A438,$G$2:$G$552)</f>
        <v>3804.9400000000028</v>
      </c>
      <c r="I438" t="s">
        <v>475</v>
      </c>
    </row>
    <row r="439" spans="1:11" x14ac:dyDescent="0.25">
      <c r="A439" t="s">
        <v>73</v>
      </c>
      <c r="B439" s="4">
        <v>46070</v>
      </c>
      <c r="C439" t="s">
        <v>417</v>
      </c>
      <c r="D439">
        <v>100.04</v>
      </c>
      <c r="E439" s="5">
        <v>20115.900000000001</v>
      </c>
      <c r="F439" t="s">
        <v>73</v>
      </c>
      <c r="G439">
        <f>VALUE(D439)</f>
        <v>100.04</v>
      </c>
      <c r="H439">
        <f>SUMIF($F$2:$F$552,A439,$G$2:$G$552)</f>
        <v>2400.8399999999997</v>
      </c>
      <c r="I439" t="s">
        <v>475</v>
      </c>
    </row>
    <row r="440" spans="1:11" x14ac:dyDescent="0.25">
      <c r="A440" t="s">
        <v>5</v>
      </c>
      <c r="B440" s="4">
        <v>46070</v>
      </c>
      <c r="C440" t="s">
        <v>418</v>
      </c>
      <c r="D440">
        <v>100.02</v>
      </c>
      <c r="E440" s="5">
        <v>20215.919999999998</v>
      </c>
      <c r="F440" t="s">
        <v>5</v>
      </c>
      <c r="G440">
        <f>VALUE(D440)</f>
        <v>100.02</v>
      </c>
      <c r="H440">
        <f>SUMIF($F$2:$F$552,A440,$G$2:$G$552)</f>
        <v>2700.7599999999998</v>
      </c>
      <c r="I440" t="s">
        <v>475</v>
      </c>
    </row>
    <row r="441" spans="1:11" x14ac:dyDescent="0.25">
      <c r="A441" t="s">
        <v>14</v>
      </c>
      <c r="B441" s="4">
        <v>46070</v>
      </c>
      <c r="C441" t="s">
        <v>419</v>
      </c>
      <c r="D441">
        <v>50.06</v>
      </c>
      <c r="E441" s="5">
        <v>20265.98</v>
      </c>
      <c r="F441" t="s">
        <v>14</v>
      </c>
      <c r="G441">
        <f>VALUE(D441)</f>
        <v>50.06</v>
      </c>
      <c r="H441">
        <f>SUMIF($F$2:$F$552,A441,$G$2:$G$552)</f>
        <v>2821.3799999999992</v>
      </c>
      <c r="I441" t="s">
        <v>475</v>
      </c>
    </row>
    <row r="442" spans="1:11" x14ac:dyDescent="0.25">
      <c r="B442" s="4">
        <v>46071</v>
      </c>
      <c r="C442" t="s">
        <v>420</v>
      </c>
      <c r="D442" s="5">
        <v>-8400</v>
      </c>
      <c r="E442" s="5">
        <v>11865.98</v>
      </c>
      <c r="I442" t="s">
        <v>478</v>
      </c>
      <c r="K442" t="s">
        <v>19</v>
      </c>
    </row>
    <row r="443" spans="1:11" x14ac:dyDescent="0.25">
      <c r="B443" s="4">
        <v>46072</v>
      </c>
      <c r="C443" t="s">
        <v>421</v>
      </c>
      <c r="D443">
        <v>434.34</v>
      </c>
      <c r="E443" s="5">
        <v>12300.32</v>
      </c>
      <c r="I443" t="s">
        <v>476</v>
      </c>
      <c r="K443" t="s">
        <v>14</v>
      </c>
    </row>
    <row r="444" spans="1:11" x14ac:dyDescent="0.25">
      <c r="B444" s="4">
        <v>46072</v>
      </c>
      <c r="C444" t="s">
        <v>422</v>
      </c>
      <c r="D444">
        <v>9.0299999999999994</v>
      </c>
      <c r="E444" s="5">
        <v>12309.35</v>
      </c>
      <c r="I444" t="s">
        <v>476</v>
      </c>
      <c r="K444" t="s">
        <v>14</v>
      </c>
    </row>
    <row r="445" spans="1:11" x14ac:dyDescent="0.25">
      <c r="A445" t="s">
        <v>28</v>
      </c>
      <c r="B445" s="4">
        <v>46073</v>
      </c>
      <c r="C445" t="s">
        <v>423</v>
      </c>
      <c r="D445">
        <v>50</v>
      </c>
      <c r="E445" s="5">
        <v>12359.35</v>
      </c>
      <c r="F445" t="s">
        <v>28</v>
      </c>
      <c r="G445">
        <f>VALUE(D445)</f>
        <v>50</v>
      </c>
      <c r="H445">
        <f>SUMIF($F$2:$F$552,A445,$G$2:$G$552)</f>
        <v>2356.04</v>
      </c>
      <c r="I445" t="s">
        <v>475</v>
      </c>
    </row>
    <row r="446" spans="1:11" x14ac:dyDescent="0.25">
      <c r="B446" s="4">
        <v>46077</v>
      </c>
      <c r="C446" t="s">
        <v>424</v>
      </c>
      <c r="D446">
        <v>200</v>
      </c>
      <c r="E446" s="5">
        <v>12559.35</v>
      </c>
      <c r="I446" t="s">
        <v>476</v>
      </c>
      <c r="K446" t="s">
        <v>487</v>
      </c>
    </row>
    <row r="447" spans="1:11" x14ac:dyDescent="0.25">
      <c r="A447" t="s">
        <v>33</v>
      </c>
      <c r="B447" s="4">
        <v>46078</v>
      </c>
      <c r="C447" t="s">
        <v>425</v>
      </c>
      <c r="D447">
        <v>50.07</v>
      </c>
      <c r="E447" s="5">
        <v>12609.42</v>
      </c>
      <c r="F447" t="s">
        <v>33</v>
      </c>
      <c r="G447">
        <f>VALUE(D447)</f>
        <v>50.07</v>
      </c>
      <c r="H447">
        <f>SUMIF($F$2:$F$552,A447,$G$2:$G$552)</f>
        <v>2452.5199999999995</v>
      </c>
      <c r="I447" t="s">
        <v>475</v>
      </c>
    </row>
    <row r="448" spans="1:11" x14ac:dyDescent="0.25">
      <c r="B448" s="4">
        <v>46078</v>
      </c>
      <c r="C448" t="s">
        <v>426</v>
      </c>
      <c r="D448" s="5">
        <v>-5000</v>
      </c>
      <c r="E448" s="5">
        <v>7609.42</v>
      </c>
      <c r="I448" t="s">
        <v>478</v>
      </c>
      <c r="K448" t="s">
        <v>14</v>
      </c>
    </row>
    <row r="449" spans="1:11" x14ac:dyDescent="0.25">
      <c r="A449" t="s">
        <v>345</v>
      </c>
      <c r="B449" s="4">
        <v>46080</v>
      </c>
      <c r="C449" t="s">
        <v>427</v>
      </c>
      <c r="D449">
        <v>100</v>
      </c>
      <c r="E449" s="5">
        <v>7709.42</v>
      </c>
      <c r="F449" t="s">
        <v>345</v>
      </c>
      <c r="G449">
        <f>VALUE(D449)</f>
        <v>100</v>
      </c>
      <c r="H449">
        <f>SUMIF($F$2:$F$552,A449,$G$2:$G$552)</f>
        <v>1000</v>
      </c>
      <c r="I449" t="s">
        <v>475</v>
      </c>
    </row>
    <row r="450" spans="1:11" x14ac:dyDescent="0.25">
      <c r="B450" s="4"/>
      <c r="E450" s="5"/>
    </row>
    <row r="451" spans="1:11" x14ac:dyDescent="0.25">
      <c r="A451" t="s">
        <v>24</v>
      </c>
      <c r="B451" s="4">
        <v>46083</v>
      </c>
      <c r="C451" t="s">
        <v>428</v>
      </c>
      <c r="D451">
        <v>100.09</v>
      </c>
      <c r="E451" s="5">
        <v>7809.51</v>
      </c>
      <c r="F451" t="s">
        <v>24</v>
      </c>
      <c r="G451">
        <f t="shared" ref="G451:G466" si="27">VALUE(D451)</f>
        <v>100.09</v>
      </c>
      <c r="H451">
        <f>SUMIF($F$2:$F$552,A451,$G$2:$G$552)</f>
        <v>4003.3300000000022</v>
      </c>
      <c r="I451" t="s">
        <v>475</v>
      </c>
    </row>
    <row r="452" spans="1:11" x14ac:dyDescent="0.25">
      <c r="A452" t="s">
        <v>361</v>
      </c>
      <c r="B452" s="4">
        <v>46084</v>
      </c>
      <c r="C452" t="s">
        <v>429</v>
      </c>
      <c r="D452">
        <v>100</v>
      </c>
      <c r="E452" s="5">
        <v>7909.51</v>
      </c>
      <c r="F452" t="s">
        <v>361</v>
      </c>
      <c r="G452">
        <f t="shared" si="27"/>
        <v>100</v>
      </c>
      <c r="H452">
        <f>SUMIF($F$2:$F$552,A452,$G$2:$G$552)</f>
        <v>850</v>
      </c>
      <c r="I452" t="s">
        <v>475</v>
      </c>
    </row>
    <row r="453" spans="1:11" x14ac:dyDescent="0.25">
      <c r="A453" t="s">
        <v>270</v>
      </c>
      <c r="B453" s="4">
        <v>46093</v>
      </c>
      <c r="C453" t="s">
        <v>430</v>
      </c>
      <c r="D453">
        <v>150</v>
      </c>
      <c r="E453" s="5">
        <v>8059.51</v>
      </c>
      <c r="F453" t="s">
        <v>270</v>
      </c>
      <c r="G453">
        <f t="shared" si="27"/>
        <v>150</v>
      </c>
      <c r="H453">
        <f>SUMIF($F$2:$F$552,A453,$G$2:$G$552)</f>
        <v>750</v>
      </c>
      <c r="I453" t="s">
        <v>475</v>
      </c>
    </row>
    <row r="454" spans="1:11" x14ac:dyDescent="0.25">
      <c r="A454" t="s">
        <v>14</v>
      </c>
      <c r="B454" s="4">
        <v>46094</v>
      </c>
      <c r="C454" t="s">
        <v>431</v>
      </c>
      <c r="D454">
        <v>80.06</v>
      </c>
      <c r="E454" s="5">
        <v>8139.57</v>
      </c>
      <c r="F454" t="s">
        <v>14</v>
      </c>
      <c r="G454">
        <f t="shared" si="27"/>
        <v>80.06</v>
      </c>
      <c r="H454">
        <f>SUMIF($F$2:$F$552,A454,$G$2:$G$552)</f>
        <v>2821.3799999999992</v>
      </c>
      <c r="I454" t="s">
        <v>475</v>
      </c>
    </row>
    <row r="455" spans="1:11" x14ac:dyDescent="0.25">
      <c r="A455" t="s">
        <v>28</v>
      </c>
      <c r="B455" s="4">
        <v>46094</v>
      </c>
      <c r="C455" t="s">
        <v>432</v>
      </c>
      <c r="D455">
        <v>50</v>
      </c>
      <c r="E455" s="5">
        <v>8189.57</v>
      </c>
      <c r="F455" t="s">
        <v>28</v>
      </c>
      <c r="G455">
        <f t="shared" si="27"/>
        <v>50</v>
      </c>
      <c r="H455">
        <f>SUMIF($F$2:$F$552,A455,$G$2:$G$552)</f>
        <v>2356.04</v>
      </c>
      <c r="I455" t="s">
        <v>475</v>
      </c>
    </row>
    <row r="456" spans="1:11" x14ac:dyDescent="0.25">
      <c r="B456" s="4">
        <v>46097</v>
      </c>
      <c r="C456" t="s">
        <v>433</v>
      </c>
      <c r="D456">
        <v>443.55</v>
      </c>
      <c r="E456" s="5">
        <v>8633.1200000000008</v>
      </c>
      <c r="G456">
        <f t="shared" si="27"/>
        <v>443.55</v>
      </c>
      <c r="H456">
        <f>SUMIF($F$2:$F$552,A456,$G$2:$G$552)</f>
        <v>0</v>
      </c>
      <c r="I456" t="s">
        <v>476</v>
      </c>
      <c r="K456" s="7" t="s">
        <v>68</v>
      </c>
    </row>
    <row r="457" spans="1:11" x14ac:dyDescent="0.25">
      <c r="A457" t="s">
        <v>73</v>
      </c>
      <c r="B457" s="4">
        <v>46097</v>
      </c>
      <c r="C457" t="s">
        <v>434</v>
      </c>
      <c r="D457">
        <v>100.04</v>
      </c>
      <c r="E457" s="5">
        <v>8733.16</v>
      </c>
      <c r="F457" t="s">
        <v>73</v>
      </c>
      <c r="G457">
        <f t="shared" si="27"/>
        <v>100.04</v>
      </c>
      <c r="H457">
        <f>SUMIF($F$2:$F$552,A457,$G$2:$G$552)</f>
        <v>2400.8399999999997</v>
      </c>
      <c r="I457" t="s">
        <v>475</v>
      </c>
    </row>
    <row r="458" spans="1:11" x14ac:dyDescent="0.25">
      <c r="A458" t="s">
        <v>5</v>
      </c>
      <c r="B458" s="4">
        <v>46097</v>
      </c>
      <c r="C458" t="s">
        <v>418</v>
      </c>
      <c r="D458">
        <v>100.02</v>
      </c>
      <c r="E458" s="5">
        <v>8833.18</v>
      </c>
      <c r="F458" t="s">
        <v>5</v>
      </c>
      <c r="G458">
        <f t="shared" si="27"/>
        <v>100.02</v>
      </c>
      <c r="H458">
        <f>SUMIF($F$2:$F$552,A458,$G$2:$G$552)</f>
        <v>2700.7599999999998</v>
      </c>
      <c r="I458" t="s">
        <v>475</v>
      </c>
    </row>
    <row r="459" spans="1:11" x14ac:dyDescent="0.25">
      <c r="A459" t="s">
        <v>345</v>
      </c>
      <c r="B459" s="4">
        <v>46097</v>
      </c>
      <c r="C459" t="s">
        <v>435</v>
      </c>
      <c r="D459">
        <v>100</v>
      </c>
      <c r="E459" s="5">
        <v>8933.18</v>
      </c>
      <c r="F459" t="s">
        <v>345</v>
      </c>
      <c r="G459">
        <f t="shared" si="27"/>
        <v>100</v>
      </c>
      <c r="H459">
        <f>SUMIF($F$2:$F$552,A459,$G$2:$G$552)</f>
        <v>1000</v>
      </c>
      <c r="I459" t="s">
        <v>475</v>
      </c>
    </row>
    <row r="460" spans="1:11" x14ac:dyDescent="0.25">
      <c r="A460" t="s">
        <v>225</v>
      </c>
      <c r="B460" s="4">
        <v>46098</v>
      </c>
      <c r="C460" t="s">
        <v>436</v>
      </c>
      <c r="D460">
        <v>50.17</v>
      </c>
      <c r="E460" s="5">
        <v>8983.35</v>
      </c>
      <c r="F460" t="s">
        <v>225</v>
      </c>
      <c r="G460">
        <f t="shared" si="27"/>
        <v>50.17</v>
      </c>
      <c r="H460">
        <f>SUMIF($F$2:$F$552,A460,$G$2:$G$552)</f>
        <v>902.54999999999984</v>
      </c>
      <c r="I460" t="s">
        <v>475</v>
      </c>
    </row>
    <row r="461" spans="1:11" x14ac:dyDescent="0.25">
      <c r="B461" s="4">
        <v>46100</v>
      </c>
      <c r="C461" t="s">
        <v>437</v>
      </c>
      <c r="D461">
        <v>523</v>
      </c>
      <c r="E461" s="5">
        <v>9506.35</v>
      </c>
      <c r="G461">
        <f t="shared" si="27"/>
        <v>523</v>
      </c>
      <c r="H461">
        <f>SUMIF($F$2:$F$552,A461,$G$2:$G$552)</f>
        <v>0</v>
      </c>
      <c r="I461" t="s">
        <v>476</v>
      </c>
      <c r="K461" t="s">
        <v>19</v>
      </c>
    </row>
    <row r="462" spans="1:11" x14ac:dyDescent="0.25">
      <c r="A462" t="s">
        <v>14</v>
      </c>
      <c r="B462" s="4">
        <v>46101</v>
      </c>
      <c r="C462" t="s">
        <v>438</v>
      </c>
      <c r="D462">
        <v>70.06</v>
      </c>
      <c r="E462" s="5">
        <v>9576.41</v>
      </c>
      <c r="F462" t="s">
        <v>14</v>
      </c>
      <c r="G462">
        <f t="shared" si="27"/>
        <v>70.06</v>
      </c>
      <c r="H462">
        <f>SUMIF($F$2:$F$552,A462,$G$2:$G$552)</f>
        <v>2821.3799999999992</v>
      </c>
      <c r="I462" t="s">
        <v>475</v>
      </c>
    </row>
    <row r="463" spans="1:11" x14ac:dyDescent="0.25">
      <c r="A463" t="s">
        <v>68</v>
      </c>
      <c r="B463" s="4">
        <v>46104</v>
      </c>
      <c r="C463" t="s">
        <v>439</v>
      </c>
      <c r="D463">
        <v>100.13</v>
      </c>
      <c r="E463" s="5">
        <v>9676.5400000000009</v>
      </c>
      <c r="F463" t="s">
        <v>68</v>
      </c>
      <c r="G463">
        <f t="shared" si="27"/>
        <v>100.13</v>
      </c>
      <c r="H463">
        <f>SUMIF($F$2:$F$552,A463,$G$2:$G$552)</f>
        <v>3804.9400000000028</v>
      </c>
      <c r="I463" t="s">
        <v>475</v>
      </c>
    </row>
    <row r="464" spans="1:11" x14ac:dyDescent="0.25">
      <c r="A464" t="s">
        <v>28</v>
      </c>
      <c r="B464" s="4">
        <v>46104</v>
      </c>
      <c r="C464" t="s">
        <v>440</v>
      </c>
      <c r="D464">
        <v>50</v>
      </c>
      <c r="E464" s="5">
        <v>9726.5400000000009</v>
      </c>
      <c r="F464" t="s">
        <v>28</v>
      </c>
      <c r="G464">
        <f t="shared" si="27"/>
        <v>50</v>
      </c>
      <c r="H464">
        <f>SUMIF($F$2:$F$552,A464,$G$2:$G$552)</f>
        <v>2356.04</v>
      </c>
      <c r="I464" t="s">
        <v>475</v>
      </c>
    </row>
    <row r="465" spans="1:11" x14ac:dyDescent="0.25">
      <c r="A465" t="s">
        <v>225</v>
      </c>
      <c r="B465" s="4">
        <v>46106</v>
      </c>
      <c r="C465" t="s">
        <v>436</v>
      </c>
      <c r="D465">
        <v>50.17</v>
      </c>
      <c r="E465" s="5">
        <v>9776.7099999999991</v>
      </c>
      <c r="F465" t="s">
        <v>225</v>
      </c>
      <c r="G465">
        <f t="shared" si="27"/>
        <v>50.17</v>
      </c>
      <c r="H465">
        <f>SUMIF($F$2:$F$552,A465,$G$2:$G$552)</f>
        <v>902.54999999999984</v>
      </c>
      <c r="I465" t="s">
        <v>475</v>
      </c>
    </row>
    <row r="466" spans="1:11" x14ac:dyDescent="0.25">
      <c r="A466" t="s">
        <v>24</v>
      </c>
      <c r="B466" s="4">
        <v>46111</v>
      </c>
      <c r="C466" t="s">
        <v>441</v>
      </c>
      <c r="D466">
        <v>100.09</v>
      </c>
      <c r="E466" s="5">
        <v>9876.7999999999993</v>
      </c>
      <c r="F466" t="s">
        <v>24</v>
      </c>
      <c r="G466">
        <f t="shared" si="27"/>
        <v>100.09</v>
      </c>
      <c r="H466">
        <f>SUMIF($F$2:$F$552,A466,$G$2:$G$552)</f>
        <v>4003.3300000000022</v>
      </c>
      <c r="I466" t="s">
        <v>475</v>
      </c>
    </row>
    <row r="467" spans="1:11" x14ac:dyDescent="0.25">
      <c r="B467" s="4"/>
      <c r="E467" s="5"/>
    </row>
    <row r="468" spans="1:11" x14ac:dyDescent="0.25">
      <c r="A468" t="s">
        <v>19</v>
      </c>
      <c r="B468" s="4">
        <v>46114</v>
      </c>
      <c r="C468" t="s">
        <v>442</v>
      </c>
      <c r="D468">
        <v>100</v>
      </c>
      <c r="E468" s="5">
        <v>9976.7999999999993</v>
      </c>
      <c r="F468" t="s">
        <v>19</v>
      </c>
      <c r="G468">
        <f t="shared" ref="G468:G484" si="28">VALUE(D468)</f>
        <v>100</v>
      </c>
      <c r="H468">
        <f>SUMIF($F$2:$F$552,A468,$G$2:$G$552)</f>
        <v>4400.2000000000007</v>
      </c>
      <c r="I468" t="s">
        <v>475</v>
      </c>
    </row>
    <row r="469" spans="1:11" x14ac:dyDescent="0.25">
      <c r="A469" t="s">
        <v>361</v>
      </c>
      <c r="B469" s="4">
        <v>46115</v>
      </c>
      <c r="C469" t="s">
        <v>443</v>
      </c>
      <c r="D469">
        <v>100</v>
      </c>
      <c r="E469" s="5">
        <v>10076.799999999999</v>
      </c>
      <c r="F469" t="s">
        <v>361</v>
      </c>
      <c r="G469">
        <f t="shared" si="28"/>
        <v>100</v>
      </c>
      <c r="H469">
        <f>SUMIF($F$2:$F$552,A469,$G$2:$G$552)</f>
        <v>850</v>
      </c>
      <c r="I469" t="s">
        <v>475</v>
      </c>
    </row>
    <row r="470" spans="1:11" x14ac:dyDescent="0.25">
      <c r="A470" t="s">
        <v>14</v>
      </c>
      <c r="B470" s="4">
        <v>46115</v>
      </c>
      <c r="C470" t="s">
        <v>444</v>
      </c>
      <c r="D470">
        <v>70.06</v>
      </c>
      <c r="E470" s="5">
        <v>10146.86</v>
      </c>
      <c r="F470" t="s">
        <v>14</v>
      </c>
      <c r="G470">
        <f t="shared" si="28"/>
        <v>70.06</v>
      </c>
      <c r="H470">
        <f>SUMIF($F$2:$F$552,A470,$G$2:$G$552)</f>
        <v>2821.3799999999992</v>
      </c>
      <c r="I470" t="s">
        <v>475</v>
      </c>
    </row>
    <row r="471" spans="1:11" x14ac:dyDescent="0.25">
      <c r="A471" t="s">
        <v>28</v>
      </c>
      <c r="B471" s="4">
        <v>46115</v>
      </c>
      <c r="C471" t="s">
        <v>445</v>
      </c>
      <c r="D471">
        <v>50</v>
      </c>
      <c r="E471" s="5">
        <v>10196.86</v>
      </c>
      <c r="F471" t="s">
        <v>28</v>
      </c>
      <c r="G471">
        <f t="shared" si="28"/>
        <v>50</v>
      </c>
      <c r="H471">
        <f>SUMIF($F$2:$F$552,A471,$G$2:$G$552)</f>
        <v>2356.04</v>
      </c>
      <c r="I471" t="s">
        <v>475</v>
      </c>
    </row>
    <row r="472" spans="1:11" x14ac:dyDescent="0.25">
      <c r="B472" s="4">
        <v>46119</v>
      </c>
      <c r="C472" t="s">
        <v>446</v>
      </c>
      <c r="D472">
        <v>100</v>
      </c>
      <c r="E472" s="5">
        <v>10296.86</v>
      </c>
      <c r="G472">
        <f t="shared" si="28"/>
        <v>100</v>
      </c>
      <c r="H472">
        <f>SUMIF($F$2:$F$552,A472,$G$2:$G$552)</f>
        <v>0</v>
      </c>
      <c r="I472" t="s">
        <v>476</v>
      </c>
      <c r="K472" t="s">
        <v>14</v>
      </c>
    </row>
    <row r="473" spans="1:11" x14ac:dyDescent="0.25">
      <c r="B473" s="4">
        <v>46122</v>
      </c>
      <c r="C473" t="s">
        <v>447</v>
      </c>
      <c r="D473">
        <v>443.55</v>
      </c>
      <c r="E473" s="5">
        <v>10740.41</v>
      </c>
      <c r="G473">
        <f t="shared" si="28"/>
        <v>443.55</v>
      </c>
      <c r="H473">
        <f>SUMIF($F$2:$F$552,A473,$G$2:$G$552)</f>
        <v>0</v>
      </c>
      <c r="I473" t="s">
        <v>476</v>
      </c>
      <c r="K473" s="7" t="s">
        <v>68</v>
      </c>
    </row>
    <row r="474" spans="1:11" x14ac:dyDescent="0.25">
      <c r="A474" t="s">
        <v>68</v>
      </c>
      <c r="B474" s="4">
        <v>46125</v>
      </c>
      <c r="C474" t="s">
        <v>448</v>
      </c>
      <c r="D474">
        <v>100.13</v>
      </c>
      <c r="E474" s="5">
        <v>10840.54</v>
      </c>
      <c r="F474" t="s">
        <v>68</v>
      </c>
      <c r="G474">
        <f t="shared" si="28"/>
        <v>100.13</v>
      </c>
      <c r="H474">
        <f>SUMIF($F$2:$F$552,A474,$G$2:$G$552)</f>
        <v>3804.9400000000028</v>
      </c>
      <c r="I474" t="s">
        <v>475</v>
      </c>
    </row>
    <row r="475" spans="1:11" x14ac:dyDescent="0.25">
      <c r="A475" t="s">
        <v>345</v>
      </c>
      <c r="B475" s="4">
        <v>46125</v>
      </c>
      <c r="C475" t="s">
        <v>449</v>
      </c>
      <c r="D475">
        <v>100</v>
      </c>
      <c r="E475" s="5">
        <v>10940.54</v>
      </c>
      <c r="F475" t="s">
        <v>345</v>
      </c>
      <c r="G475">
        <f t="shared" si="28"/>
        <v>100</v>
      </c>
      <c r="H475">
        <f>SUMIF($F$2:$F$552,A475,$G$2:$G$552)</f>
        <v>1000</v>
      </c>
      <c r="I475" t="s">
        <v>475</v>
      </c>
    </row>
    <row r="476" spans="1:11" x14ac:dyDescent="0.25">
      <c r="A476" t="s">
        <v>73</v>
      </c>
      <c r="B476" s="4">
        <v>46127</v>
      </c>
      <c r="C476" t="s">
        <v>450</v>
      </c>
      <c r="D476">
        <v>100.04</v>
      </c>
      <c r="E476" s="5">
        <v>11040.58</v>
      </c>
      <c r="F476" t="s">
        <v>73</v>
      </c>
      <c r="G476">
        <f t="shared" si="28"/>
        <v>100.04</v>
      </c>
      <c r="H476">
        <f>SUMIF($F$2:$F$552,A476,$G$2:$G$552)</f>
        <v>2400.8399999999997</v>
      </c>
      <c r="I476" t="s">
        <v>475</v>
      </c>
    </row>
    <row r="477" spans="1:11" x14ac:dyDescent="0.25">
      <c r="A477" t="s">
        <v>5</v>
      </c>
      <c r="B477" s="4">
        <v>46128</v>
      </c>
      <c r="C477" t="s">
        <v>65</v>
      </c>
      <c r="D477">
        <v>100.02</v>
      </c>
      <c r="E477" s="5">
        <v>11140.6</v>
      </c>
      <c r="F477" t="s">
        <v>5</v>
      </c>
      <c r="G477">
        <f t="shared" si="28"/>
        <v>100.02</v>
      </c>
      <c r="H477">
        <f>SUMIF($F$2:$F$552,A477,$G$2:$G$552)</f>
        <v>2700.7599999999998</v>
      </c>
      <c r="I477" t="s">
        <v>475</v>
      </c>
    </row>
    <row r="478" spans="1:11" x14ac:dyDescent="0.25">
      <c r="B478" s="4">
        <v>46129</v>
      </c>
      <c r="C478" t="s">
        <v>451</v>
      </c>
      <c r="D478">
        <v>560</v>
      </c>
      <c r="E478" s="5">
        <v>11700.6</v>
      </c>
      <c r="G478">
        <f t="shared" si="28"/>
        <v>560</v>
      </c>
      <c r="H478">
        <f>SUMIF($F$2:$F$552,A478,$G$2:$G$552)</f>
        <v>0</v>
      </c>
      <c r="I478" t="s">
        <v>476</v>
      </c>
      <c r="K478" t="s">
        <v>19</v>
      </c>
    </row>
    <row r="479" spans="1:11" x14ac:dyDescent="0.25">
      <c r="B479" s="4">
        <v>46132</v>
      </c>
      <c r="C479" t="s">
        <v>452</v>
      </c>
      <c r="D479">
        <v>434.34</v>
      </c>
      <c r="E479" s="5">
        <v>12134.94</v>
      </c>
      <c r="G479">
        <f t="shared" si="28"/>
        <v>434.34</v>
      </c>
      <c r="H479">
        <f>SUMIF($F$2:$F$552,A479,$G$2:$G$552)</f>
        <v>0</v>
      </c>
      <c r="I479" t="s">
        <v>476</v>
      </c>
      <c r="K479" t="s">
        <v>14</v>
      </c>
    </row>
    <row r="480" spans="1:11" x14ac:dyDescent="0.25">
      <c r="A480" t="s">
        <v>28</v>
      </c>
      <c r="B480" s="4">
        <v>46132</v>
      </c>
      <c r="C480" t="s">
        <v>453</v>
      </c>
      <c r="D480">
        <v>50</v>
      </c>
      <c r="E480" s="5">
        <v>12184.94</v>
      </c>
      <c r="F480" t="s">
        <v>28</v>
      </c>
      <c r="G480">
        <f t="shared" si="28"/>
        <v>50</v>
      </c>
      <c r="H480">
        <f>SUMIF($F$2:$F$552,A480,$G$2:$G$552)</f>
        <v>2356.04</v>
      </c>
      <c r="I480" t="s">
        <v>475</v>
      </c>
    </row>
    <row r="481" spans="1:11" x14ac:dyDescent="0.25">
      <c r="B481" s="4">
        <v>46132</v>
      </c>
      <c r="C481" t="s">
        <v>454</v>
      </c>
      <c r="D481" s="5">
        <v>-1721.91</v>
      </c>
      <c r="E481" s="5">
        <v>10463.030000000001</v>
      </c>
      <c r="G481">
        <f t="shared" si="28"/>
        <v>-1721.91</v>
      </c>
      <c r="H481">
        <f>SUMIF($F$2:$F$552,A481,$G$2:$G$552)</f>
        <v>0</v>
      </c>
      <c r="I481" t="s">
        <v>477</v>
      </c>
      <c r="K481" t="s">
        <v>488</v>
      </c>
    </row>
    <row r="482" spans="1:11" x14ac:dyDescent="0.25">
      <c r="A482" t="s">
        <v>33</v>
      </c>
      <c r="B482" s="4">
        <v>46135</v>
      </c>
      <c r="C482" t="s">
        <v>455</v>
      </c>
      <c r="D482">
        <v>200.07</v>
      </c>
      <c r="E482" s="5">
        <v>10663.1</v>
      </c>
      <c r="F482" t="s">
        <v>33</v>
      </c>
      <c r="G482">
        <f t="shared" si="28"/>
        <v>200.07</v>
      </c>
      <c r="H482">
        <f>SUMIF($F$2:$F$552,A482,$G$2:$G$552)</f>
        <v>2452.5199999999995</v>
      </c>
      <c r="I482" t="s">
        <v>475</v>
      </c>
    </row>
    <row r="483" spans="1:11" x14ac:dyDescent="0.25">
      <c r="A483" t="s">
        <v>14</v>
      </c>
      <c r="B483" s="4">
        <v>46136</v>
      </c>
      <c r="C483" t="s">
        <v>456</v>
      </c>
      <c r="D483">
        <v>80.06</v>
      </c>
      <c r="E483" s="5">
        <v>10743.16</v>
      </c>
      <c r="F483" t="s">
        <v>14</v>
      </c>
      <c r="G483">
        <f t="shared" si="28"/>
        <v>80.06</v>
      </c>
      <c r="H483">
        <f>SUMIF($F$2:$F$552,A483,$G$2:$G$552)</f>
        <v>2821.3799999999992</v>
      </c>
      <c r="I483" t="s">
        <v>475</v>
      </c>
    </row>
    <row r="484" spans="1:11" x14ac:dyDescent="0.25">
      <c r="A484" t="s">
        <v>24</v>
      </c>
      <c r="B484" s="4">
        <v>46140</v>
      </c>
      <c r="C484" t="s">
        <v>457</v>
      </c>
      <c r="D484">
        <v>100.09</v>
      </c>
      <c r="E484" s="5">
        <v>10843.25</v>
      </c>
      <c r="F484" t="s">
        <v>24</v>
      </c>
      <c r="G484">
        <f t="shared" si="28"/>
        <v>100.09</v>
      </c>
      <c r="H484">
        <f>SUMIF($F$2:$F$552,A484,$G$2:$G$552)</f>
        <v>4003.3300000000022</v>
      </c>
      <c r="I484" t="s">
        <v>475</v>
      </c>
    </row>
    <row r="485" spans="1:11" x14ac:dyDescent="0.25">
      <c r="B485" s="4"/>
      <c r="E485" s="5"/>
    </row>
    <row r="486" spans="1:11" x14ac:dyDescent="0.25">
      <c r="B486" s="4"/>
      <c r="E486" s="5"/>
    </row>
    <row r="487" spans="1:11" x14ac:dyDescent="0.25">
      <c r="B487" s="4"/>
      <c r="E487" s="5"/>
    </row>
    <row r="488" spans="1:11" x14ac:dyDescent="0.25">
      <c r="B488" s="4"/>
      <c r="E488" s="5"/>
    </row>
    <row r="489" spans="1:11" x14ac:dyDescent="0.25">
      <c r="B489" s="4"/>
      <c r="E489" s="5"/>
    </row>
    <row r="490" spans="1:11" x14ac:dyDescent="0.25">
      <c r="B490" s="4"/>
      <c r="E490" s="5"/>
    </row>
    <row r="491" spans="1:11" x14ac:dyDescent="0.25">
      <c r="B491" s="4"/>
      <c r="E491" s="5"/>
    </row>
    <row r="492" spans="1:11" x14ac:dyDescent="0.25">
      <c r="B492" s="4"/>
      <c r="E492" s="5"/>
    </row>
    <row r="493" spans="1:11" x14ac:dyDescent="0.25">
      <c r="B493" s="4"/>
      <c r="E493" s="5"/>
    </row>
    <row r="494" spans="1:11" x14ac:dyDescent="0.25">
      <c r="B494" s="4"/>
      <c r="E494" s="5"/>
    </row>
    <row r="495" spans="1:11" x14ac:dyDescent="0.25">
      <c r="B495" s="4"/>
      <c r="E495" s="5"/>
    </row>
    <row r="496" spans="1:11" x14ac:dyDescent="0.25">
      <c r="B496" s="4"/>
      <c r="E496" s="5"/>
    </row>
    <row r="497" spans="2:5" x14ac:dyDescent="0.25">
      <c r="B497" s="4"/>
      <c r="E497" s="5"/>
    </row>
    <row r="498" spans="2:5" x14ac:dyDescent="0.25">
      <c r="B498" s="4"/>
      <c r="E498" s="5"/>
    </row>
    <row r="499" spans="2:5" x14ac:dyDescent="0.25">
      <c r="B499" s="4"/>
      <c r="E499" s="5"/>
    </row>
    <row r="500" spans="2:5" x14ac:dyDescent="0.25">
      <c r="B500" s="4"/>
      <c r="E500" s="5"/>
    </row>
    <row r="501" spans="2:5" x14ac:dyDescent="0.25">
      <c r="B501" s="4"/>
      <c r="E501" s="5"/>
    </row>
    <row r="502" spans="2:5" x14ac:dyDescent="0.25">
      <c r="B502" s="4"/>
      <c r="E502" s="5"/>
    </row>
    <row r="503" spans="2:5" x14ac:dyDescent="0.25">
      <c r="B503" s="4"/>
      <c r="E503" s="5"/>
    </row>
    <row r="504" spans="2:5" x14ac:dyDescent="0.25">
      <c r="B504" s="4"/>
      <c r="E504" s="5"/>
    </row>
    <row r="505" spans="2:5" x14ac:dyDescent="0.25">
      <c r="B505" s="4"/>
      <c r="E505" s="5"/>
    </row>
    <row r="506" spans="2:5" x14ac:dyDescent="0.25">
      <c r="B506" s="4"/>
      <c r="E506" s="5"/>
    </row>
    <row r="507" spans="2:5" x14ac:dyDescent="0.25">
      <c r="B507" s="4"/>
      <c r="E507" s="5"/>
    </row>
    <row r="508" spans="2:5" x14ac:dyDescent="0.25">
      <c r="B508" s="4"/>
      <c r="D508" s="5"/>
      <c r="E508" s="5"/>
    </row>
    <row r="509" spans="2:5" x14ac:dyDescent="0.25">
      <c r="B509" s="4"/>
      <c r="E509" s="5"/>
    </row>
    <row r="510" spans="2:5" x14ac:dyDescent="0.25">
      <c r="B510" s="4"/>
      <c r="E510" s="5"/>
    </row>
    <row r="511" spans="2:5" x14ac:dyDescent="0.25">
      <c r="B511" s="4"/>
      <c r="E511" s="5"/>
    </row>
    <row r="512" spans="2:5" x14ac:dyDescent="0.25">
      <c r="B512" s="4"/>
      <c r="E512" s="5"/>
    </row>
    <row r="513" spans="2:5" x14ac:dyDescent="0.25">
      <c r="B513" s="4"/>
      <c r="E513" s="5"/>
    </row>
    <row r="514" spans="2:5" x14ac:dyDescent="0.25">
      <c r="B514" s="4"/>
      <c r="E514" s="5"/>
    </row>
    <row r="515" spans="2:5" x14ac:dyDescent="0.25">
      <c r="B515" s="4"/>
      <c r="E515" s="5"/>
    </row>
    <row r="516" spans="2:5" x14ac:dyDescent="0.25">
      <c r="B516" s="4"/>
      <c r="E516" s="5"/>
    </row>
    <row r="517" spans="2:5" x14ac:dyDescent="0.25">
      <c r="B517" s="4"/>
      <c r="E517" s="5"/>
    </row>
    <row r="518" spans="2:5" x14ac:dyDescent="0.25">
      <c r="B518" s="4"/>
      <c r="E518" s="5"/>
    </row>
    <row r="519" spans="2:5" x14ac:dyDescent="0.25">
      <c r="B519" s="4"/>
      <c r="E519" s="5"/>
    </row>
    <row r="520" spans="2:5" x14ac:dyDescent="0.25">
      <c r="B520" s="4"/>
      <c r="E520" s="5"/>
    </row>
    <row r="521" spans="2:5" x14ac:dyDescent="0.25">
      <c r="B521" s="4"/>
      <c r="E521" s="5"/>
    </row>
    <row r="522" spans="2:5" x14ac:dyDescent="0.25">
      <c r="B522" s="4"/>
      <c r="E522" s="5"/>
    </row>
    <row r="523" spans="2:5" x14ac:dyDescent="0.25">
      <c r="B523" s="4"/>
      <c r="E523" s="5"/>
    </row>
    <row r="524" spans="2:5" x14ac:dyDescent="0.25">
      <c r="B524" s="4"/>
      <c r="E524" s="5"/>
    </row>
    <row r="525" spans="2:5" x14ac:dyDescent="0.25">
      <c r="B525" s="4"/>
      <c r="E525" s="5"/>
    </row>
    <row r="526" spans="2:5" x14ac:dyDescent="0.25">
      <c r="B526" s="4"/>
      <c r="E526" s="5"/>
    </row>
    <row r="527" spans="2:5" x14ac:dyDescent="0.25">
      <c r="B527" s="4"/>
      <c r="E527" s="5"/>
    </row>
    <row r="528" spans="2:5" x14ac:dyDescent="0.25">
      <c r="B528" s="4"/>
      <c r="E528" s="5"/>
    </row>
    <row r="529" spans="2:5" x14ac:dyDescent="0.25">
      <c r="B529" s="4"/>
      <c r="E529" s="5"/>
    </row>
    <row r="530" spans="2:5" x14ac:dyDescent="0.25">
      <c r="B530" s="4"/>
      <c r="E530" s="5"/>
    </row>
    <row r="531" spans="2:5" x14ac:dyDescent="0.25">
      <c r="B531" s="4"/>
      <c r="E531" s="5"/>
    </row>
    <row r="532" spans="2:5" x14ac:dyDescent="0.25">
      <c r="B532" s="4"/>
      <c r="E532" s="5"/>
    </row>
    <row r="533" spans="2:5" x14ac:dyDescent="0.25">
      <c r="B533" s="4"/>
      <c r="E533" s="5"/>
    </row>
    <row r="534" spans="2:5" x14ac:dyDescent="0.25">
      <c r="B534" s="4"/>
      <c r="E534" s="5"/>
    </row>
    <row r="535" spans="2:5" x14ac:dyDescent="0.25">
      <c r="B535" s="4"/>
      <c r="E535" s="5"/>
    </row>
    <row r="536" spans="2:5" x14ac:dyDescent="0.25">
      <c r="B536" s="4"/>
      <c r="E536" s="5"/>
    </row>
    <row r="537" spans="2:5" x14ac:dyDescent="0.25">
      <c r="B537" s="4"/>
      <c r="E537" s="5"/>
    </row>
    <row r="538" spans="2:5" x14ac:dyDescent="0.25">
      <c r="B538" s="4"/>
      <c r="E538" s="5"/>
    </row>
    <row r="539" spans="2:5" x14ac:dyDescent="0.25">
      <c r="B539" s="4"/>
      <c r="E539" s="5"/>
    </row>
    <row r="540" spans="2:5" x14ac:dyDescent="0.25">
      <c r="B540" s="4"/>
      <c r="E540" s="5"/>
    </row>
    <row r="541" spans="2:5" x14ac:dyDescent="0.25">
      <c r="B541" s="4"/>
      <c r="E541" s="5"/>
    </row>
    <row r="542" spans="2:5" x14ac:dyDescent="0.25">
      <c r="B542" s="4"/>
      <c r="E542" s="5"/>
    </row>
    <row r="543" spans="2:5" x14ac:dyDescent="0.25">
      <c r="B543" s="4"/>
    </row>
    <row r="544" spans="2:5" x14ac:dyDescent="0.25">
      <c r="B544" s="4"/>
    </row>
    <row r="545" spans="1:9" x14ac:dyDescent="0.25">
      <c r="B545" s="4"/>
    </row>
    <row r="546" spans="1:9" x14ac:dyDescent="0.25">
      <c r="B546" s="4"/>
    </row>
    <row r="547" spans="1:9" x14ac:dyDescent="0.25">
      <c r="B547" s="4"/>
    </row>
    <row r="548" spans="1:9" x14ac:dyDescent="0.25">
      <c r="B548" s="4"/>
    </row>
    <row r="549" spans="1:9" x14ac:dyDescent="0.25">
      <c r="B549" s="4"/>
    </row>
    <row r="550" spans="1:9" x14ac:dyDescent="0.25">
      <c r="B550" s="4"/>
    </row>
    <row r="551" spans="1:9" x14ac:dyDescent="0.25">
      <c r="B551" s="4"/>
    </row>
    <row r="552" spans="1:9" x14ac:dyDescent="0.25">
      <c r="B552" s="3"/>
    </row>
    <row r="557" spans="1:9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0</v>
      </c>
    </row>
    <row r="558" spans="1:9" x14ac:dyDescent="0.25">
      <c r="A558" t="s">
        <v>5</v>
      </c>
      <c r="B558" s="1" t="s">
        <v>6</v>
      </c>
      <c r="C558" t="s">
        <v>7</v>
      </c>
      <c r="D558" t="s">
        <v>8</v>
      </c>
      <c r="E558" t="s">
        <v>9</v>
      </c>
      <c r="F558" t="s">
        <v>5</v>
      </c>
      <c r="G558">
        <f t="shared" ref="G558:G563" si="29">VALUE(D558)</f>
        <v>150</v>
      </c>
      <c r="H558">
        <f>SUMIF($F$2:$F$552,A558,$G$2:$G$552)</f>
        <v>2700.7599999999998</v>
      </c>
      <c r="I558" t="s">
        <v>475</v>
      </c>
    </row>
    <row r="559" spans="1:9" x14ac:dyDescent="0.25">
      <c r="A559" t="s">
        <v>19</v>
      </c>
      <c r="B559" s="1" t="s">
        <v>20</v>
      </c>
      <c r="C559" t="s">
        <v>21</v>
      </c>
      <c r="D559" t="s">
        <v>22</v>
      </c>
      <c r="E559" t="s">
        <v>23</v>
      </c>
      <c r="F559" t="s">
        <v>19</v>
      </c>
      <c r="G559">
        <f t="shared" si="29"/>
        <v>1100</v>
      </c>
      <c r="H559">
        <f>SUMIF($F$2:$F$552,A559,$G$2:$G$552)</f>
        <v>4400.2000000000007</v>
      </c>
      <c r="I559" t="s">
        <v>475</v>
      </c>
    </row>
    <row r="560" spans="1:9" x14ac:dyDescent="0.25">
      <c r="A560" t="s">
        <v>24</v>
      </c>
      <c r="B560" s="1" t="s">
        <v>25</v>
      </c>
      <c r="C560" t="s">
        <v>12</v>
      </c>
      <c r="D560" t="s">
        <v>26</v>
      </c>
      <c r="E560" t="s">
        <v>27</v>
      </c>
      <c r="F560" t="s">
        <v>24</v>
      </c>
      <c r="G560">
        <f t="shared" si="29"/>
        <v>200.09</v>
      </c>
      <c r="H560">
        <f>SUMIF($F$2:$F$552,A560,$G$2:$G$552)</f>
        <v>4003.3300000000022</v>
      </c>
      <c r="I560" t="s">
        <v>475</v>
      </c>
    </row>
    <row r="561" spans="1:9" x14ac:dyDescent="0.25">
      <c r="A561" t="s">
        <v>28</v>
      </c>
      <c r="B561" s="1" t="s">
        <v>29</v>
      </c>
      <c r="C561" t="s">
        <v>30</v>
      </c>
      <c r="D561" t="s">
        <v>31</v>
      </c>
      <c r="E561" t="s">
        <v>32</v>
      </c>
      <c r="F561" t="s">
        <v>28</v>
      </c>
      <c r="G561">
        <f t="shared" si="29"/>
        <v>150.01</v>
      </c>
      <c r="H561">
        <f>SUMIF($F$2:$F$552,A561,$G$2:$G$552)</f>
        <v>2356.04</v>
      </c>
      <c r="I561" t="s">
        <v>475</v>
      </c>
    </row>
    <row r="562" spans="1:9" x14ac:dyDescent="0.25">
      <c r="A562" t="s">
        <v>33</v>
      </c>
      <c r="B562" s="1" t="s">
        <v>34</v>
      </c>
      <c r="C562" t="s">
        <v>35</v>
      </c>
      <c r="D562" t="s">
        <v>36</v>
      </c>
      <c r="E562" t="s">
        <v>37</v>
      </c>
      <c r="F562" t="s">
        <v>33</v>
      </c>
      <c r="G562">
        <f t="shared" si="29"/>
        <v>150.07</v>
      </c>
      <c r="H562">
        <f>SUMIF($F$2:$F$552,A562,$G$2:$G$552)</f>
        <v>2452.5199999999995</v>
      </c>
      <c r="I562" t="s">
        <v>475</v>
      </c>
    </row>
    <row r="563" spans="1:9" x14ac:dyDescent="0.25">
      <c r="A563" t="s">
        <v>33</v>
      </c>
      <c r="B563" s="1" t="s">
        <v>38</v>
      </c>
      <c r="C563" t="s">
        <v>39</v>
      </c>
      <c r="D563" t="s">
        <v>40</v>
      </c>
      <c r="E563" t="s">
        <v>41</v>
      </c>
      <c r="F563" t="s">
        <v>33</v>
      </c>
      <c r="G563">
        <f t="shared" si="29"/>
        <v>50.07</v>
      </c>
      <c r="H563">
        <f>SUMIF($F$2:$F$552,A563,$G$2:$G$552)</f>
        <v>2452.5199999999995</v>
      </c>
      <c r="I563" t="s">
        <v>475</v>
      </c>
    </row>
    <row r="564" spans="1:9" s="6" customFormat="1" x14ac:dyDescent="0.25"/>
    <row r="565" spans="1:9" s="6" customFormat="1" x14ac:dyDescent="0.25">
      <c r="A565" t="s">
        <v>42</v>
      </c>
      <c r="B565" t="s">
        <v>43</v>
      </c>
      <c r="C565" t="s">
        <v>44</v>
      </c>
      <c r="D565" t="s">
        <v>45</v>
      </c>
      <c r="E565" t="s">
        <v>46</v>
      </c>
      <c r="F565" t="s">
        <v>42</v>
      </c>
      <c r="G565">
        <f t="shared" ref="G565:G577" si="30">VALUE(D565)</f>
        <v>250.03</v>
      </c>
      <c r="H565">
        <f>SUMIF($F$2:$F$552,A565,$G$2:$G$552)</f>
        <v>3400.06</v>
      </c>
      <c r="I565" s="6" t="s">
        <v>475</v>
      </c>
    </row>
    <row r="566" spans="1:9" x14ac:dyDescent="0.25">
      <c r="A566" t="s">
        <v>47</v>
      </c>
      <c r="B566" t="s">
        <v>48</v>
      </c>
      <c r="C566" t="s">
        <v>49</v>
      </c>
      <c r="D566" t="s">
        <v>50</v>
      </c>
      <c r="E566" t="s">
        <v>51</v>
      </c>
      <c r="F566" t="s">
        <v>47</v>
      </c>
      <c r="G566">
        <f t="shared" si="30"/>
        <v>208</v>
      </c>
      <c r="H566">
        <f>SUMIF($F$2:$F$552,A566,$G$2:$G$552)</f>
        <v>508</v>
      </c>
      <c r="I566" s="6" t="s">
        <v>475</v>
      </c>
    </row>
    <row r="567" spans="1:9" x14ac:dyDescent="0.25">
      <c r="A567" t="s">
        <v>24</v>
      </c>
      <c r="B567" t="s">
        <v>52</v>
      </c>
      <c r="C567" t="s">
        <v>53</v>
      </c>
      <c r="D567" t="s">
        <v>54</v>
      </c>
      <c r="E567" t="s">
        <v>55</v>
      </c>
      <c r="F567" t="s">
        <v>24</v>
      </c>
      <c r="G567">
        <f t="shared" si="30"/>
        <v>100.09</v>
      </c>
      <c r="H567">
        <f>SUMIF($F$2:$F$552,A567,$G$2:$G$552)</f>
        <v>4003.3300000000022</v>
      </c>
      <c r="I567" s="6" t="s">
        <v>475</v>
      </c>
    </row>
    <row r="568" spans="1:9" x14ac:dyDescent="0.25">
      <c r="A568" t="s">
        <v>42</v>
      </c>
      <c r="B568" t="s">
        <v>52</v>
      </c>
      <c r="C568" t="s">
        <v>56</v>
      </c>
      <c r="D568" t="s">
        <v>57</v>
      </c>
      <c r="E568" t="s">
        <v>58</v>
      </c>
      <c r="F568" t="s">
        <v>42</v>
      </c>
      <c r="G568">
        <f t="shared" si="30"/>
        <v>200.03</v>
      </c>
      <c r="H568">
        <f>SUMIF($F$2:$F$552,A568,$G$2:$G$552)</f>
        <v>3400.06</v>
      </c>
      <c r="I568" s="6" t="s">
        <v>475</v>
      </c>
    </row>
    <row r="569" spans="1:9" x14ac:dyDescent="0.25">
      <c r="A569" t="s">
        <v>19</v>
      </c>
      <c r="B569" t="s">
        <v>52</v>
      </c>
      <c r="C569" t="s">
        <v>21</v>
      </c>
      <c r="D569" t="s">
        <v>59</v>
      </c>
      <c r="E569" t="s">
        <v>60</v>
      </c>
      <c r="F569" t="s">
        <v>19</v>
      </c>
      <c r="G569">
        <f t="shared" si="30"/>
        <v>1000.05</v>
      </c>
      <c r="H569">
        <f>SUMIF($F$2:$F$552,A569,$G$2:$G$552)</f>
        <v>4400.2000000000007</v>
      </c>
      <c r="I569" s="6" t="s">
        <v>475</v>
      </c>
    </row>
    <row r="570" spans="1:9" x14ac:dyDescent="0.25">
      <c r="A570" t="s">
        <v>28</v>
      </c>
      <c r="B570" t="s">
        <v>61</v>
      </c>
      <c r="C570" t="s">
        <v>30</v>
      </c>
      <c r="D570" t="s">
        <v>62</v>
      </c>
      <c r="E570" t="s">
        <v>63</v>
      </c>
      <c r="F570" t="s">
        <v>28</v>
      </c>
      <c r="G570">
        <f t="shared" si="30"/>
        <v>50.01</v>
      </c>
      <c r="H570">
        <f>SUMIF($F$2:$F$552,A570,$G$2:$G$552)</f>
        <v>2356.04</v>
      </c>
      <c r="I570" s="6" t="s">
        <v>475</v>
      </c>
    </row>
    <row r="571" spans="1:9" x14ac:dyDescent="0.25">
      <c r="A571" t="s">
        <v>5</v>
      </c>
      <c r="B571" t="s">
        <v>64</v>
      </c>
      <c r="C571" t="s">
        <v>65</v>
      </c>
      <c r="D571" t="s">
        <v>66</v>
      </c>
      <c r="E571" t="s">
        <v>67</v>
      </c>
      <c r="F571" t="s">
        <v>5</v>
      </c>
      <c r="G571">
        <f t="shared" si="30"/>
        <v>50.02</v>
      </c>
      <c r="H571">
        <f>SUMIF($F$2:$F$552,A571,$G$2:$G$552)</f>
        <v>2700.7599999999998</v>
      </c>
      <c r="I571" s="6" t="s">
        <v>475</v>
      </c>
    </row>
    <row r="572" spans="1:9" x14ac:dyDescent="0.25">
      <c r="A572" t="s">
        <v>68</v>
      </c>
      <c r="B572" t="s">
        <v>69</v>
      </c>
      <c r="C572" t="s">
        <v>70</v>
      </c>
      <c r="D572" t="s">
        <v>71</v>
      </c>
      <c r="E572" t="s">
        <v>72</v>
      </c>
      <c r="F572" t="s">
        <v>68</v>
      </c>
      <c r="G572">
        <f t="shared" si="30"/>
        <v>150.13</v>
      </c>
      <c r="H572">
        <f>SUMIF($F$2:$F$552,A572,$G$2:$G$552)</f>
        <v>3804.9400000000028</v>
      </c>
      <c r="I572" s="6" t="s">
        <v>475</v>
      </c>
    </row>
    <row r="573" spans="1:9" x14ac:dyDescent="0.25">
      <c r="A573" t="s">
        <v>73</v>
      </c>
      <c r="B573" t="s">
        <v>74</v>
      </c>
      <c r="C573" t="s">
        <v>75</v>
      </c>
      <c r="D573" t="s">
        <v>76</v>
      </c>
      <c r="E573" t="s">
        <v>77</v>
      </c>
      <c r="F573" t="s">
        <v>73</v>
      </c>
      <c r="G573">
        <f t="shared" si="30"/>
        <v>200.04</v>
      </c>
      <c r="H573">
        <f>SUMIF($F$2:$F$552,A573,$G$2:$G$552)</f>
        <v>2400.8399999999997</v>
      </c>
      <c r="I573" s="6" t="s">
        <v>475</v>
      </c>
    </row>
    <row r="574" spans="1:9" x14ac:dyDescent="0.25">
      <c r="A574" t="s">
        <v>14</v>
      </c>
      <c r="B574" t="s">
        <v>78</v>
      </c>
      <c r="C574" t="s">
        <v>79</v>
      </c>
      <c r="D574" t="s">
        <v>80</v>
      </c>
      <c r="E574" t="s">
        <v>81</v>
      </c>
      <c r="F574" t="s">
        <v>14</v>
      </c>
      <c r="G574">
        <f t="shared" si="30"/>
        <v>100.06</v>
      </c>
      <c r="H574">
        <f>SUMIF($F$2:$F$552,A574,$G$2:$G$552)</f>
        <v>2821.3799999999992</v>
      </c>
      <c r="I574" s="6" t="s">
        <v>475</v>
      </c>
    </row>
    <row r="575" spans="1:9" x14ac:dyDescent="0.25">
      <c r="A575" t="s">
        <v>33</v>
      </c>
      <c r="B575" t="s">
        <v>78</v>
      </c>
      <c r="C575" t="s">
        <v>82</v>
      </c>
      <c r="D575" t="s">
        <v>40</v>
      </c>
      <c r="E575" t="s">
        <v>83</v>
      </c>
      <c r="F575" t="s">
        <v>33</v>
      </c>
      <c r="G575">
        <f t="shared" si="30"/>
        <v>50.07</v>
      </c>
      <c r="H575">
        <f>SUMIF($F$2:$F$552,A575,$G$2:$G$552)</f>
        <v>2452.5199999999995</v>
      </c>
      <c r="I575" s="6" t="s">
        <v>475</v>
      </c>
    </row>
    <row r="576" spans="1:9" x14ac:dyDescent="0.25">
      <c r="A576" t="s">
        <v>47</v>
      </c>
      <c r="B576" t="s">
        <v>84</v>
      </c>
      <c r="C576" t="s">
        <v>85</v>
      </c>
      <c r="D576" t="s">
        <v>13</v>
      </c>
      <c r="E576" t="s">
        <v>86</v>
      </c>
      <c r="F576" t="s">
        <v>47</v>
      </c>
      <c r="G576">
        <f t="shared" si="30"/>
        <v>100</v>
      </c>
      <c r="H576">
        <f>SUMIF($F$2:$F$552,A576,$G$2:$G$552)</f>
        <v>508</v>
      </c>
      <c r="I576" s="6" t="s">
        <v>475</v>
      </c>
    </row>
    <row r="577" spans="1:9" x14ac:dyDescent="0.25">
      <c r="A577" t="s">
        <v>87</v>
      </c>
      <c r="B577" t="s">
        <v>88</v>
      </c>
      <c r="C577" t="s">
        <v>89</v>
      </c>
      <c r="D577" t="s">
        <v>90</v>
      </c>
      <c r="E577" t="s">
        <v>91</v>
      </c>
      <c r="F577" t="s">
        <v>87</v>
      </c>
      <c r="G577">
        <f t="shared" si="30"/>
        <v>200.14</v>
      </c>
      <c r="H577">
        <f>SUMIF($F$2:$F$552,A577,$G$2:$G$552)</f>
        <v>900.28</v>
      </c>
      <c r="I577" s="6" t="s">
        <v>475</v>
      </c>
    </row>
    <row r="579" spans="1:9" x14ac:dyDescent="0.25">
      <c r="A579" t="s">
        <v>33</v>
      </c>
      <c r="B579" s="1" t="s">
        <v>92</v>
      </c>
      <c r="C579" t="s">
        <v>93</v>
      </c>
      <c r="D579" t="s">
        <v>40</v>
      </c>
      <c r="E579" t="s">
        <v>94</v>
      </c>
      <c r="F579" t="s">
        <v>33</v>
      </c>
      <c r="G579">
        <f t="shared" ref="G579:G586" si="31">VALUE(D579)</f>
        <v>50.07</v>
      </c>
      <c r="H579">
        <f>SUMIF($F$2:$F$552,A579,$G$2:$G$552)</f>
        <v>2452.5199999999995</v>
      </c>
      <c r="I579" s="6" t="s">
        <v>475</v>
      </c>
    </row>
    <row r="580" spans="1:9" x14ac:dyDescent="0.25">
      <c r="A580" t="s">
        <v>19</v>
      </c>
      <c r="B580" s="1" t="s">
        <v>92</v>
      </c>
      <c r="C580" t="s">
        <v>21</v>
      </c>
      <c r="D580" t="s">
        <v>59</v>
      </c>
      <c r="E580" t="s">
        <v>95</v>
      </c>
      <c r="F580" t="s">
        <v>19</v>
      </c>
      <c r="G580">
        <f t="shared" si="31"/>
        <v>1000.05</v>
      </c>
      <c r="H580">
        <f>SUMIF($F$2:$F$552,A580,$G$2:$G$552)</f>
        <v>4400.2000000000007</v>
      </c>
      <c r="I580" s="6" t="s">
        <v>475</v>
      </c>
    </row>
    <row r="581" spans="1:9" x14ac:dyDescent="0.25">
      <c r="A581" t="s">
        <v>10</v>
      </c>
      <c r="B581" s="1" t="s">
        <v>96</v>
      </c>
      <c r="C581" t="s">
        <v>97</v>
      </c>
      <c r="D581" t="s">
        <v>13</v>
      </c>
      <c r="E581" t="s">
        <v>98</v>
      </c>
      <c r="F581" t="s">
        <v>10</v>
      </c>
      <c r="G581">
        <f t="shared" si="31"/>
        <v>100</v>
      </c>
      <c r="H581">
        <f>SUMIF($F$2:$F$552,A581,$G$2:$G$552)</f>
        <v>200</v>
      </c>
      <c r="I581" s="6" t="s">
        <v>475</v>
      </c>
    </row>
    <row r="582" spans="1:9" x14ac:dyDescent="0.25">
      <c r="A582" t="s">
        <v>24</v>
      </c>
      <c r="B582" s="1" t="s">
        <v>99</v>
      </c>
      <c r="C582" t="s">
        <v>100</v>
      </c>
      <c r="D582" t="s">
        <v>54</v>
      </c>
      <c r="E582" t="s">
        <v>101</v>
      </c>
      <c r="F582" t="s">
        <v>24</v>
      </c>
      <c r="G582">
        <f t="shared" si="31"/>
        <v>100.09</v>
      </c>
      <c r="H582">
        <f>SUMIF($F$2:$F$552,A582,$G$2:$G$552)</f>
        <v>4003.3300000000022</v>
      </c>
      <c r="I582" s="6" t="s">
        <v>475</v>
      </c>
    </row>
    <row r="583" spans="1:9" x14ac:dyDescent="0.25">
      <c r="A583" t="s">
        <v>33</v>
      </c>
      <c r="B583" s="1" t="s">
        <v>99</v>
      </c>
      <c r="C583" t="s">
        <v>102</v>
      </c>
      <c r="D583" t="s">
        <v>40</v>
      </c>
      <c r="E583" t="s">
        <v>103</v>
      </c>
      <c r="F583" t="s">
        <v>33</v>
      </c>
      <c r="G583">
        <f t="shared" si="31"/>
        <v>50.07</v>
      </c>
      <c r="H583">
        <f>SUMIF($F$2:$F$552,A583,$G$2:$G$552)</f>
        <v>2452.5199999999995</v>
      </c>
      <c r="I583" s="6" t="s">
        <v>475</v>
      </c>
    </row>
    <row r="584" spans="1:9" x14ac:dyDescent="0.25">
      <c r="A584" t="s">
        <v>42</v>
      </c>
      <c r="B584" s="2">
        <v>45033</v>
      </c>
      <c r="C584" t="s">
        <v>104</v>
      </c>
      <c r="D584">
        <v>200</v>
      </c>
      <c r="E584">
        <v>6243.19</v>
      </c>
      <c r="F584" t="s">
        <v>42</v>
      </c>
      <c r="G584">
        <f t="shared" si="31"/>
        <v>200</v>
      </c>
      <c r="H584">
        <f>SUMIF($F$2:$F$552,A584,$G$2:$G$552)</f>
        <v>3400.06</v>
      </c>
      <c r="I584" s="6" t="s">
        <v>475</v>
      </c>
    </row>
    <row r="585" spans="1:9" x14ac:dyDescent="0.25">
      <c r="A585" t="s">
        <v>14</v>
      </c>
      <c r="B585" s="3">
        <v>45043</v>
      </c>
      <c r="C585" t="s">
        <v>105</v>
      </c>
      <c r="D585">
        <v>100</v>
      </c>
      <c r="E585">
        <v>6393.21</v>
      </c>
      <c r="F585" t="s">
        <v>14</v>
      </c>
      <c r="G585">
        <f t="shared" si="31"/>
        <v>100</v>
      </c>
      <c r="H585">
        <f>SUMIF($F$2:$F$552,A585,$G$2:$G$552)</f>
        <v>2821.3799999999992</v>
      </c>
      <c r="I585" s="6" t="s">
        <v>475</v>
      </c>
    </row>
    <row r="586" spans="1:9" x14ac:dyDescent="0.25">
      <c r="A586" t="s">
        <v>5</v>
      </c>
      <c r="B586" s="2">
        <v>45033</v>
      </c>
      <c r="C586" t="s">
        <v>65</v>
      </c>
      <c r="D586">
        <v>50.02</v>
      </c>
      <c r="E586">
        <v>6293.21</v>
      </c>
      <c r="F586" t="s">
        <v>5</v>
      </c>
      <c r="G586">
        <f t="shared" si="31"/>
        <v>50.02</v>
      </c>
      <c r="H586">
        <f>SUMIF($F$2:$F$552,A586,$G$2:$G$552)</f>
        <v>2700.7599999999998</v>
      </c>
      <c r="I586" s="6" t="s">
        <v>475</v>
      </c>
    </row>
    <row r="587" spans="1:9" x14ac:dyDescent="0.25">
      <c r="B587" s="3"/>
    </row>
    <row r="588" spans="1:9" x14ac:dyDescent="0.25">
      <c r="B588" s="3"/>
    </row>
    <row r="589" spans="1:9" x14ac:dyDescent="0.25">
      <c r="A589" t="s">
        <v>73</v>
      </c>
      <c r="B589" s="3">
        <v>45047</v>
      </c>
      <c r="C589" t="s">
        <v>106</v>
      </c>
      <c r="D589">
        <v>200.04</v>
      </c>
      <c r="E589">
        <v>6593.25</v>
      </c>
      <c r="F589" t="s">
        <v>73</v>
      </c>
      <c r="G589">
        <f t="shared" ref="G589:G599" si="32">VALUE(D589)</f>
        <v>200.04</v>
      </c>
      <c r="H589">
        <f>SUMIF($F$2:$F$552,A589,$G$2:$G$552)</f>
        <v>2400.8399999999997</v>
      </c>
      <c r="I589" s="6" t="s">
        <v>475</v>
      </c>
    </row>
    <row r="590" spans="1:9" x14ac:dyDescent="0.25">
      <c r="A590" t="s">
        <v>47</v>
      </c>
      <c r="B590" s="3">
        <v>45047</v>
      </c>
      <c r="C590" t="s">
        <v>107</v>
      </c>
      <c r="D590">
        <v>200</v>
      </c>
      <c r="E590">
        <v>6793.25</v>
      </c>
      <c r="F590" t="s">
        <v>47</v>
      </c>
      <c r="G590">
        <f t="shared" si="32"/>
        <v>200</v>
      </c>
      <c r="H590">
        <f>SUMIF($F$2:$F$552,A590,$G$2:$G$552)</f>
        <v>508</v>
      </c>
      <c r="I590" s="6" t="s">
        <v>475</v>
      </c>
    </row>
    <row r="591" spans="1:9" x14ac:dyDescent="0.25">
      <c r="A591" t="s">
        <v>87</v>
      </c>
      <c r="B591" s="3">
        <v>45047</v>
      </c>
      <c r="C591" t="s">
        <v>108</v>
      </c>
      <c r="D591">
        <v>100.14</v>
      </c>
      <c r="E591">
        <v>6893.39</v>
      </c>
      <c r="F591" t="s">
        <v>87</v>
      </c>
      <c r="G591">
        <f t="shared" si="32"/>
        <v>100.14</v>
      </c>
      <c r="H591">
        <f>SUMIF($F$2:$F$552,A591,$G$2:$G$552)</f>
        <v>900.28</v>
      </c>
      <c r="I591" s="6" t="s">
        <v>475</v>
      </c>
    </row>
    <row r="592" spans="1:9" x14ac:dyDescent="0.25">
      <c r="A592" t="s">
        <v>24</v>
      </c>
      <c r="B592" s="3">
        <v>45047</v>
      </c>
      <c r="C592" t="s">
        <v>109</v>
      </c>
      <c r="D592">
        <v>100.09</v>
      </c>
      <c r="E592">
        <v>6993.48</v>
      </c>
      <c r="F592" t="s">
        <v>24</v>
      </c>
      <c r="G592">
        <f t="shared" si="32"/>
        <v>100.09</v>
      </c>
      <c r="H592">
        <f>SUMIF($F$2:$F$552,A592,$G$2:$G$552)</f>
        <v>4003.3300000000022</v>
      </c>
      <c r="I592" s="6" t="s">
        <v>475</v>
      </c>
    </row>
    <row r="593" spans="1:9" x14ac:dyDescent="0.25">
      <c r="A593" t="s">
        <v>68</v>
      </c>
      <c r="B593" s="3">
        <v>45047</v>
      </c>
      <c r="C593" t="s">
        <v>110</v>
      </c>
      <c r="D593">
        <v>50.13</v>
      </c>
      <c r="E593">
        <v>7043.61</v>
      </c>
      <c r="F593" t="s">
        <v>68</v>
      </c>
      <c r="G593">
        <f t="shared" si="32"/>
        <v>50.13</v>
      </c>
      <c r="H593">
        <f>SUMIF($F$2:$F$552,A593,$G$2:$G$552)</f>
        <v>3804.9400000000028</v>
      </c>
      <c r="I593" s="6" t="s">
        <v>475</v>
      </c>
    </row>
    <row r="594" spans="1:9" x14ac:dyDescent="0.25">
      <c r="A594" t="s">
        <v>28</v>
      </c>
      <c r="B594" s="3">
        <v>45048</v>
      </c>
      <c r="C594" t="s">
        <v>30</v>
      </c>
      <c r="D594">
        <v>50.01</v>
      </c>
      <c r="E594">
        <v>7093.62</v>
      </c>
      <c r="F594" t="s">
        <v>28</v>
      </c>
      <c r="G594">
        <f t="shared" si="32"/>
        <v>50.01</v>
      </c>
      <c r="H594">
        <f>SUMIF($F$2:$F$552,A594,$G$2:$G$552)</f>
        <v>2356.04</v>
      </c>
      <c r="I594" s="6" t="s">
        <v>475</v>
      </c>
    </row>
    <row r="595" spans="1:9" x14ac:dyDescent="0.25">
      <c r="A595" t="s">
        <v>19</v>
      </c>
      <c r="B595" s="3">
        <v>45049</v>
      </c>
      <c r="C595" t="s">
        <v>21</v>
      </c>
      <c r="D595">
        <v>1000.05</v>
      </c>
      <c r="E595">
        <v>8093.67</v>
      </c>
      <c r="F595" t="s">
        <v>19</v>
      </c>
      <c r="G595">
        <f t="shared" si="32"/>
        <v>1000.05</v>
      </c>
      <c r="H595">
        <f>SUMIF($F$2:$F$552,A595,$G$2:$G$552)</f>
        <v>4400.2000000000007</v>
      </c>
      <c r="I595" s="6" t="s">
        <v>475</v>
      </c>
    </row>
    <row r="596" spans="1:9" x14ac:dyDescent="0.25">
      <c r="A596" t="s">
        <v>33</v>
      </c>
      <c r="B596" s="3">
        <v>45054</v>
      </c>
      <c r="C596" t="s">
        <v>111</v>
      </c>
      <c r="D596">
        <v>50.07</v>
      </c>
      <c r="E596">
        <v>8143.74</v>
      </c>
      <c r="F596" t="s">
        <v>33</v>
      </c>
      <c r="G596">
        <f t="shared" si="32"/>
        <v>50.07</v>
      </c>
      <c r="H596">
        <f>SUMIF($F$2:$F$552,A596,$G$2:$G$552)</f>
        <v>2452.5199999999995</v>
      </c>
      <c r="I596" s="6" t="s">
        <v>475</v>
      </c>
    </row>
    <row r="597" spans="1:9" x14ac:dyDescent="0.25">
      <c r="A597" t="s">
        <v>68</v>
      </c>
      <c r="B597" s="3">
        <v>45058</v>
      </c>
      <c r="C597" t="s">
        <v>112</v>
      </c>
      <c r="D597">
        <v>100.13</v>
      </c>
      <c r="E597">
        <v>8243.8700000000008</v>
      </c>
      <c r="F597" t="s">
        <v>68</v>
      </c>
      <c r="G597">
        <f t="shared" si="32"/>
        <v>100.13</v>
      </c>
      <c r="H597">
        <f>SUMIF($F$2:$F$552,A597,$G$2:$G$552)</f>
        <v>3804.9400000000028</v>
      </c>
      <c r="I597" s="6" t="s">
        <v>475</v>
      </c>
    </row>
    <row r="598" spans="1:9" x14ac:dyDescent="0.25">
      <c r="A598" t="s">
        <v>5</v>
      </c>
      <c r="B598" s="3">
        <v>45062</v>
      </c>
      <c r="C598" t="s">
        <v>65</v>
      </c>
      <c r="D598">
        <v>50.02</v>
      </c>
      <c r="E598">
        <v>8293.89</v>
      </c>
      <c r="F598" t="s">
        <v>5</v>
      </c>
      <c r="G598">
        <f t="shared" si="32"/>
        <v>50.02</v>
      </c>
      <c r="H598">
        <f>SUMIF($F$2:$F$552,A598,$G$2:$G$552)</f>
        <v>2700.7599999999998</v>
      </c>
      <c r="I598" s="6" t="s">
        <v>475</v>
      </c>
    </row>
    <row r="599" spans="1:9" x14ac:dyDescent="0.25">
      <c r="A599" t="s">
        <v>14</v>
      </c>
      <c r="B599" s="3">
        <v>45077</v>
      </c>
      <c r="C599" t="s">
        <v>113</v>
      </c>
      <c r="D599">
        <v>100.06</v>
      </c>
      <c r="E599">
        <v>8393.9500000000007</v>
      </c>
      <c r="F599" t="s">
        <v>14</v>
      </c>
      <c r="G599">
        <f t="shared" si="32"/>
        <v>100.06</v>
      </c>
      <c r="H599">
        <f>SUMIF($F$2:$F$552,A599,$G$2:$G$552)</f>
        <v>2821.3799999999992</v>
      </c>
      <c r="I599" s="6" t="s">
        <v>475</v>
      </c>
    </row>
    <row r="600" spans="1:9" x14ac:dyDescent="0.25">
      <c r="B600" s="3"/>
    </row>
    <row r="601" spans="1:9" x14ac:dyDescent="0.25">
      <c r="A601" t="s">
        <v>24</v>
      </c>
      <c r="B601" s="3">
        <v>45082</v>
      </c>
      <c r="C601" t="s">
        <v>114</v>
      </c>
      <c r="D601">
        <v>100.09</v>
      </c>
      <c r="E601">
        <v>8494.0400000000009</v>
      </c>
      <c r="F601" t="s">
        <v>24</v>
      </c>
      <c r="G601">
        <f t="shared" ref="G601:G606" si="33">VALUE(D601)</f>
        <v>100.09</v>
      </c>
      <c r="H601">
        <f>SUMIF($F$2:$F$552,A601,$G$2:$G$552)</f>
        <v>4003.3300000000022</v>
      </c>
      <c r="I601" s="6" t="s">
        <v>475</v>
      </c>
    </row>
    <row r="602" spans="1:9" x14ac:dyDescent="0.25">
      <c r="A602" t="s">
        <v>68</v>
      </c>
      <c r="B602" s="3">
        <v>45085</v>
      </c>
      <c r="C602" t="s">
        <v>115</v>
      </c>
      <c r="D602">
        <v>100.13</v>
      </c>
      <c r="E602">
        <v>8594.17</v>
      </c>
      <c r="F602" t="s">
        <v>68</v>
      </c>
      <c r="G602">
        <f t="shared" si="33"/>
        <v>100.13</v>
      </c>
      <c r="H602">
        <f>SUMIF($F$2:$F$552,A602,$G$2:$G$552)</f>
        <v>3804.9400000000028</v>
      </c>
      <c r="I602" s="6" t="s">
        <v>475</v>
      </c>
    </row>
    <row r="603" spans="1:9" x14ac:dyDescent="0.25">
      <c r="A603" t="s">
        <v>5</v>
      </c>
      <c r="B603" s="3">
        <v>45093</v>
      </c>
      <c r="C603" t="s">
        <v>65</v>
      </c>
      <c r="D603">
        <v>50.02</v>
      </c>
      <c r="E603">
        <v>8644.19</v>
      </c>
      <c r="F603" t="s">
        <v>5</v>
      </c>
      <c r="G603">
        <f t="shared" si="33"/>
        <v>50.02</v>
      </c>
      <c r="H603">
        <f>SUMIF($F$2:$F$552,A603,$G$2:$G$552)</f>
        <v>2700.7599999999998</v>
      </c>
      <c r="I603" s="6" t="s">
        <v>475</v>
      </c>
    </row>
    <row r="604" spans="1:9" x14ac:dyDescent="0.25">
      <c r="A604" t="s">
        <v>116</v>
      </c>
      <c r="B604" s="3">
        <v>45097</v>
      </c>
      <c r="C604" t="s">
        <v>117</v>
      </c>
      <c r="D604">
        <v>200.18</v>
      </c>
      <c r="E604">
        <v>8844.3700000000008</v>
      </c>
      <c r="F604" t="s">
        <v>116</v>
      </c>
      <c r="G604">
        <f t="shared" si="33"/>
        <v>200.18</v>
      </c>
      <c r="H604">
        <f>SUMIF($F$2:$F$552,A604,$G$2:$G$552)</f>
        <v>500.18</v>
      </c>
      <c r="I604" s="6" t="s">
        <v>475</v>
      </c>
    </row>
    <row r="605" spans="1:9" x14ac:dyDescent="0.25">
      <c r="A605" t="s">
        <v>28</v>
      </c>
      <c r="B605" s="3">
        <v>45098</v>
      </c>
      <c r="C605" t="s">
        <v>30</v>
      </c>
      <c r="D605">
        <v>100.01</v>
      </c>
      <c r="E605">
        <v>8944.3799999999992</v>
      </c>
      <c r="F605" t="s">
        <v>28</v>
      </c>
      <c r="G605">
        <f t="shared" si="33"/>
        <v>100.01</v>
      </c>
      <c r="H605">
        <f>SUMIF($F$2:$F$552,A605,$G$2:$G$552)</f>
        <v>2356.04</v>
      </c>
      <c r="I605" s="6" t="s">
        <v>475</v>
      </c>
    </row>
    <row r="606" spans="1:9" x14ac:dyDescent="0.25">
      <c r="A606" t="s">
        <v>33</v>
      </c>
      <c r="B606" s="3">
        <v>45099</v>
      </c>
      <c r="C606" t="s">
        <v>118</v>
      </c>
      <c r="D606">
        <v>50.07</v>
      </c>
      <c r="E606">
        <v>8994.4500000000007</v>
      </c>
      <c r="F606" t="s">
        <v>33</v>
      </c>
      <c r="G606">
        <f t="shared" si="33"/>
        <v>50.07</v>
      </c>
      <c r="H606">
        <f>SUMIF($F$2:$F$552,A606,$G$2:$G$552)</f>
        <v>2452.5199999999995</v>
      </c>
      <c r="I606" s="6" t="s">
        <v>475</v>
      </c>
    </row>
    <row r="607" spans="1:9" x14ac:dyDescent="0.25">
      <c r="A607" t="s">
        <v>14</v>
      </c>
      <c r="B607" s="3">
        <v>45107</v>
      </c>
      <c r="C607" t="s">
        <v>119</v>
      </c>
      <c r="D607">
        <v>100.06</v>
      </c>
      <c r="E607">
        <v>9094.51</v>
      </c>
      <c r="F607" t="s">
        <v>14</v>
      </c>
      <c r="G607">
        <f>VALUE(D607)</f>
        <v>100.06</v>
      </c>
      <c r="H607">
        <f>SUMIF($F$2:$F$552,A607,$G$2:$G$552)</f>
        <v>2821.3799999999992</v>
      </c>
      <c r="I607" s="6" t="s">
        <v>475</v>
      </c>
    </row>
    <row r="608" spans="1:9" x14ac:dyDescent="0.25">
      <c r="A608" s="4"/>
    </row>
    <row r="609" spans="1:11" x14ac:dyDescent="0.25">
      <c r="A609" s="4"/>
    </row>
    <row r="610" spans="1:11" x14ac:dyDescent="0.25">
      <c r="A610" t="s">
        <v>24</v>
      </c>
      <c r="B610" s="3">
        <v>45110</v>
      </c>
      <c r="C610" t="s">
        <v>120</v>
      </c>
      <c r="D610">
        <v>100.09</v>
      </c>
      <c r="E610">
        <v>9194.6</v>
      </c>
      <c r="F610" t="s">
        <v>24</v>
      </c>
      <c r="G610">
        <f t="shared" ref="G610:G617" si="34">VALUE(D610)</f>
        <v>100.09</v>
      </c>
      <c r="H610">
        <f>SUMIF($F$2:$F$552,A610,$G$2:$G$552)</f>
        <v>4003.3300000000022</v>
      </c>
      <c r="I610" s="6" t="s">
        <v>475</v>
      </c>
    </row>
    <row r="611" spans="1:11" x14ac:dyDescent="0.25">
      <c r="A611" t="s">
        <v>68</v>
      </c>
      <c r="B611" s="3">
        <v>45117</v>
      </c>
      <c r="C611" t="s">
        <v>121</v>
      </c>
      <c r="D611">
        <v>100.13</v>
      </c>
      <c r="E611">
        <v>9294.73</v>
      </c>
      <c r="F611" t="s">
        <v>68</v>
      </c>
      <c r="G611">
        <f t="shared" si="34"/>
        <v>100.13</v>
      </c>
      <c r="H611">
        <f>SUMIF($F$2:$F$552,A611,$G$2:$G$552)</f>
        <v>3804.9400000000028</v>
      </c>
      <c r="I611" s="6" t="s">
        <v>475</v>
      </c>
    </row>
    <row r="612" spans="1:11" x14ac:dyDescent="0.25">
      <c r="A612" t="s">
        <v>5</v>
      </c>
      <c r="B612" s="4">
        <v>45124</v>
      </c>
      <c r="C612" t="s">
        <v>65</v>
      </c>
      <c r="D612">
        <v>50.02</v>
      </c>
      <c r="E612">
        <v>9344.75</v>
      </c>
      <c r="F612" t="s">
        <v>5</v>
      </c>
      <c r="G612">
        <f t="shared" si="34"/>
        <v>50.02</v>
      </c>
      <c r="H612">
        <f>SUMIF($F$2:$F$552,A612,$G$2:$G$552)</f>
        <v>2700.7599999999998</v>
      </c>
      <c r="I612" s="6" t="s">
        <v>475</v>
      </c>
    </row>
    <row r="613" spans="1:11" x14ac:dyDescent="0.25">
      <c r="A613" t="s">
        <v>33</v>
      </c>
      <c r="B613" s="3">
        <v>45131</v>
      </c>
      <c r="C613" t="s">
        <v>122</v>
      </c>
      <c r="D613">
        <v>50.07</v>
      </c>
      <c r="E613">
        <v>9394.82</v>
      </c>
      <c r="F613" t="s">
        <v>33</v>
      </c>
      <c r="G613">
        <f t="shared" si="34"/>
        <v>50.07</v>
      </c>
      <c r="H613">
        <f>SUMIF($F$2:$F$552,A613,$G$2:$G$552)</f>
        <v>2452.5199999999995</v>
      </c>
      <c r="I613" s="6" t="s">
        <v>475</v>
      </c>
    </row>
    <row r="614" spans="1:11" x14ac:dyDescent="0.25">
      <c r="A614" t="s">
        <v>14</v>
      </c>
      <c r="B614" s="3">
        <v>45133</v>
      </c>
      <c r="C614" t="s">
        <v>123</v>
      </c>
      <c r="D614">
        <v>100.06</v>
      </c>
      <c r="E614">
        <v>9494.8799999999992</v>
      </c>
      <c r="F614" t="s">
        <v>14</v>
      </c>
      <c r="G614">
        <f t="shared" si="34"/>
        <v>100.06</v>
      </c>
      <c r="H614">
        <f>SUMIF($F$2:$F$552,A614,$G$2:$G$552)</f>
        <v>2821.3799999999992</v>
      </c>
      <c r="I614" s="6" t="s">
        <v>475</v>
      </c>
    </row>
    <row r="615" spans="1:11" x14ac:dyDescent="0.25">
      <c r="A615" t="s">
        <v>87</v>
      </c>
      <c r="B615" s="4">
        <v>45138</v>
      </c>
      <c r="C615" t="s">
        <v>124</v>
      </c>
      <c r="D615">
        <v>600</v>
      </c>
      <c r="E615">
        <v>10094.879999999999</v>
      </c>
      <c r="F615" t="s">
        <v>87</v>
      </c>
      <c r="G615">
        <f t="shared" si="34"/>
        <v>600</v>
      </c>
      <c r="H615">
        <f>SUMIF($F$2:$F$552,A615,$G$2:$G$552)</f>
        <v>900.28</v>
      </c>
      <c r="I615" s="6" t="s">
        <v>475</v>
      </c>
    </row>
    <row r="616" spans="1:11" x14ac:dyDescent="0.25">
      <c r="A616" t="s">
        <v>116</v>
      </c>
      <c r="B616" s="4">
        <v>45138</v>
      </c>
      <c r="C616" t="s">
        <v>125</v>
      </c>
      <c r="D616">
        <v>300</v>
      </c>
      <c r="E616">
        <v>10394.879999999999</v>
      </c>
      <c r="F616" t="s">
        <v>116</v>
      </c>
      <c r="G616">
        <f t="shared" si="34"/>
        <v>300</v>
      </c>
      <c r="H616">
        <f>SUMIF($F$2:$F$552,A616,$G$2:$G$552)</f>
        <v>500.18</v>
      </c>
      <c r="I616" s="6" t="s">
        <v>475</v>
      </c>
    </row>
    <row r="617" spans="1:11" x14ac:dyDescent="0.25">
      <c r="A617" t="s">
        <v>126</v>
      </c>
      <c r="B617" s="4">
        <v>45138</v>
      </c>
      <c r="C617" t="s">
        <v>127</v>
      </c>
      <c r="D617">
        <v>200.1</v>
      </c>
      <c r="E617">
        <v>10594.98</v>
      </c>
      <c r="F617" t="s">
        <v>126</v>
      </c>
      <c r="G617">
        <f t="shared" si="34"/>
        <v>200.1</v>
      </c>
      <c r="H617">
        <f>SUMIF($F$2:$F$552,A617,$G$2:$G$552)</f>
        <v>200.1</v>
      </c>
      <c r="I617" s="6" t="s">
        <v>475</v>
      </c>
    </row>
    <row r="618" spans="1:11" x14ac:dyDescent="0.25">
      <c r="B618" s="4"/>
    </row>
    <row r="619" spans="1:11" x14ac:dyDescent="0.25">
      <c r="B619" s="4"/>
    </row>
    <row r="620" spans="1:11" x14ac:dyDescent="0.25">
      <c r="B620" s="4">
        <v>45139</v>
      </c>
      <c r="C620" t="s">
        <v>128</v>
      </c>
      <c r="E620">
        <v>10594.98</v>
      </c>
    </row>
    <row r="621" spans="1:11" x14ac:dyDescent="0.25">
      <c r="A621" t="s">
        <v>68</v>
      </c>
      <c r="B621" s="4">
        <v>45149</v>
      </c>
      <c r="C621" t="s">
        <v>129</v>
      </c>
      <c r="D621">
        <v>100.13</v>
      </c>
      <c r="E621">
        <v>10695.11</v>
      </c>
      <c r="F621" t="s">
        <v>68</v>
      </c>
      <c r="G621">
        <f>VALUE(D621)</f>
        <v>100.13</v>
      </c>
      <c r="H621">
        <f>SUMIF($F$2:$F$552,A621,$G$2:$G$552)</f>
        <v>3804.9400000000028</v>
      </c>
      <c r="I621" t="s">
        <v>475</v>
      </c>
    </row>
    <row r="622" spans="1:11" x14ac:dyDescent="0.25">
      <c r="A622" t="s">
        <v>14</v>
      </c>
      <c r="B622" s="4">
        <v>45152</v>
      </c>
      <c r="C622" t="s">
        <v>130</v>
      </c>
      <c r="D622">
        <v>100.06</v>
      </c>
      <c r="E622">
        <v>10795.17</v>
      </c>
      <c r="F622" t="s">
        <v>14</v>
      </c>
      <c r="G622">
        <f>VALUE(D622)</f>
        <v>100.06</v>
      </c>
      <c r="H622">
        <f>SUMIF($F$2:$F$552,A622,$G$2:$G$552)</f>
        <v>2821.3799999999992</v>
      </c>
      <c r="I622" t="s">
        <v>475</v>
      </c>
    </row>
    <row r="623" spans="1:11" x14ac:dyDescent="0.25">
      <c r="A623" t="s">
        <v>5</v>
      </c>
      <c r="B623" s="4">
        <v>45154</v>
      </c>
      <c r="C623" t="s">
        <v>65</v>
      </c>
      <c r="D623">
        <v>50.02</v>
      </c>
      <c r="E623">
        <v>10845.19</v>
      </c>
      <c r="F623" t="s">
        <v>5</v>
      </c>
      <c r="G623">
        <f>VALUE(D623)</f>
        <v>50.02</v>
      </c>
      <c r="H623">
        <f>SUMIF($F$2:$F$552,A623,$G$2:$G$552)</f>
        <v>2700.7599999999998</v>
      </c>
      <c r="I623" t="s">
        <v>475</v>
      </c>
    </row>
    <row r="624" spans="1:11" x14ac:dyDescent="0.25">
      <c r="B624" s="4">
        <v>45166</v>
      </c>
      <c r="C624" t="s">
        <v>131</v>
      </c>
      <c r="D624">
        <v>-6500</v>
      </c>
      <c r="E624">
        <v>4345.1899999999996</v>
      </c>
      <c r="I624" t="s">
        <v>478</v>
      </c>
      <c r="K624" t="s">
        <v>19</v>
      </c>
    </row>
    <row r="625" spans="1:9" x14ac:dyDescent="0.25">
      <c r="A625" t="s">
        <v>28</v>
      </c>
      <c r="B625" s="4">
        <v>45168</v>
      </c>
      <c r="C625" t="s">
        <v>30</v>
      </c>
      <c r="D625">
        <v>100</v>
      </c>
      <c r="E625">
        <v>4445.1899999999996</v>
      </c>
      <c r="F625" t="s">
        <v>28</v>
      </c>
      <c r="G625">
        <f>VALUE(D625)</f>
        <v>100</v>
      </c>
      <c r="H625">
        <f>SUMIF($F$2:$F$552,A625,$G$2:$G$552)</f>
        <v>2356.04</v>
      </c>
      <c r="I625" t="s">
        <v>475</v>
      </c>
    </row>
    <row r="626" spans="1:9" x14ac:dyDescent="0.25">
      <c r="A626" s="4"/>
    </row>
    <row r="627" spans="1:9" x14ac:dyDescent="0.25">
      <c r="A627" s="4"/>
    </row>
    <row r="628" spans="1:9" x14ac:dyDescent="0.25">
      <c r="A628" s="4"/>
    </row>
    <row r="629" spans="1:9" x14ac:dyDescent="0.25">
      <c r="A629" s="4"/>
    </row>
    <row r="630" spans="1:9" x14ac:dyDescent="0.25">
      <c r="A630" s="4"/>
      <c r="B630" t="s">
        <v>1</v>
      </c>
      <c r="C630" t="s">
        <v>2</v>
      </c>
      <c r="D630" t="s">
        <v>3</v>
      </c>
      <c r="E630" t="s">
        <v>469</v>
      </c>
    </row>
    <row r="631" spans="1:9" x14ac:dyDescent="0.25">
      <c r="A631" s="4"/>
      <c r="B631" s="4">
        <v>45170</v>
      </c>
      <c r="C631" t="s">
        <v>470</v>
      </c>
      <c r="E631">
        <v>4445.1899999999996</v>
      </c>
    </row>
    <row r="632" spans="1:9" x14ac:dyDescent="0.25">
      <c r="A632" t="s">
        <v>68</v>
      </c>
      <c r="B632" s="4">
        <v>45174</v>
      </c>
      <c r="C632" t="s">
        <v>132</v>
      </c>
      <c r="D632">
        <v>100.13</v>
      </c>
      <c r="E632">
        <v>4545.32</v>
      </c>
      <c r="F632" t="s">
        <v>68</v>
      </c>
      <c r="G632">
        <f>VALUE(D632)</f>
        <v>100.13</v>
      </c>
      <c r="H632">
        <f>SUMIF($F$2:$F$552,A632,$G$2:$G$552)</f>
        <v>3804.9400000000028</v>
      </c>
      <c r="I632" t="s">
        <v>475</v>
      </c>
    </row>
    <row r="633" spans="1:9" x14ac:dyDescent="0.25">
      <c r="A633" t="s">
        <v>24</v>
      </c>
      <c r="B633" s="4">
        <v>45177</v>
      </c>
      <c r="C633" t="s">
        <v>133</v>
      </c>
      <c r="D633">
        <v>100.09</v>
      </c>
      <c r="E633">
        <v>4645.41</v>
      </c>
      <c r="F633" t="s">
        <v>24</v>
      </c>
      <c r="G633">
        <f>VALUE(D633)</f>
        <v>100.09</v>
      </c>
      <c r="H633">
        <f>SUMIF($F$2:$F$552,A633,$G$2:$G$552)</f>
        <v>4003.3300000000022</v>
      </c>
      <c r="I633" t="s">
        <v>475</v>
      </c>
    </row>
    <row r="634" spans="1:9" x14ac:dyDescent="0.25">
      <c r="A634" t="s">
        <v>33</v>
      </c>
      <c r="B634" s="4">
        <v>45177</v>
      </c>
      <c r="C634" t="s">
        <v>134</v>
      </c>
      <c r="D634">
        <v>100.07</v>
      </c>
      <c r="E634">
        <v>4745.4799999999996</v>
      </c>
      <c r="F634" t="s">
        <v>33</v>
      </c>
      <c r="G634">
        <f>VALUE(D634)</f>
        <v>100.07</v>
      </c>
      <c r="H634">
        <f>SUMIF($F$2:$F$552,A634,$G$2:$G$552)</f>
        <v>2452.5199999999995</v>
      </c>
      <c r="I634" t="s">
        <v>475</v>
      </c>
    </row>
    <row r="635" spans="1:9" x14ac:dyDescent="0.25">
      <c r="A635" t="s">
        <v>73</v>
      </c>
      <c r="B635" s="4">
        <v>45180</v>
      </c>
      <c r="C635" t="s">
        <v>135</v>
      </c>
      <c r="D635">
        <v>200.08</v>
      </c>
      <c r="E635">
        <v>4945.5600000000004</v>
      </c>
      <c r="F635" t="s">
        <v>73</v>
      </c>
      <c r="G635">
        <f>VALUE(D635)</f>
        <v>200.08</v>
      </c>
      <c r="H635">
        <f>SUMIF($F$2:$F$552,A635,$G$2:$G$552)</f>
        <v>2400.8399999999997</v>
      </c>
      <c r="I635" t="s">
        <v>475</v>
      </c>
    </row>
    <row r="636" spans="1:9" x14ac:dyDescent="0.25">
      <c r="A636" s="4"/>
      <c r="B636" s="4">
        <v>45181</v>
      </c>
      <c r="C636" t="s">
        <v>471</v>
      </c>
      <c r="D636">
        <v>-279</v>
      </c>
      <c r="E636">
        <v>4666.5600000000004</v>
      </c>
      <c r="I636" t="s">
        <v>480</v>
      </c>
    </row>
    <row r="637" spans="1:9" x14ac:dyDescent="0.25">
      <c r="A637" s="4"/>
      <c r="B637" s="4">
        <v>45181</v>
      </c>
      <c r="C637" t="s">
        <v>472</v>
      </c>
      <c r="D637">
        <v>-186</v>
      </c>
      <c r="E637">
        <v>4480.5600000000004</v>
      </c>
      <c r="I637" t="s">
        <v>480</v>
      </c>
    </row>
    <row r="638" spans="1:9" x14ac:dyDescent="0.25">
      <c r="A638" t="s">
        <v>5</v>
      </c>
      <c r="B638" s="4">
        <v>45187</v>
      </c>
      <c r="C638" t="s">
        <v>65</v>
      </c>
      <c r="D638">
        <v>50.02</v>
      </c>
      <c r="E638">
        <v>4530.58</v>
      </c>
      <c r="F638" t="s">
        <v>5</v>
      </c>
      <c r="G638">
        <f>VALUE(D638)</f>
        <v>50.02</v>
      </c>
      <c r="H638">
        <f>SUMIF($F$2:$F$552,A638,$G$2:$G$552)</f>
        <v>2700.7599999999998</v>
      </c>
      <c r="I638" t="s">
        <v>475</v>
      </c>
    </row>
    <row r="639" spans="1:9" x14ac:dyDescent="0.25">
      <c r="A639" t="s">
        <v>14</v>
      </c>
      <c r="B639" s="4">
        <v>45198</v>
      </c>
      <c r="C639" t="s">
        <v>136</v>
      </c>
      <c r="D639">
        <v>100.06</v>
      </c>
      <c r="E639">
        <v>4630.6400000000003</v>
      </c>
      <c r="F639" t="s">
        <v>14</v>
      </c>
      <c r="G639">
        <f>VALUE(D639)</f>
        <v>100.06</v>
      </c>
      <c r="H639">
        <f>SUMIF($F$2:$F$552,A639,$G$2:$G$552)</f>
        <v>2821.3799999999992</v>
      </c>
      <c r="I639" t="s">
        <v>475</v>
      </c>
    </row>
    <row r="640" spans="1:9" x14ac:dyDescent="0.25">
      <c r="A640" s="4"/>
    </row>
    <row r="641" spans="1:10" x14ac:dyDescent="0.25">
      <c r="A641" s="4"/>
    </row>
    <row r="642" spans="1:10" x14ac:dyDescent="0.25">
      <c r="A642" s="4"/>
    </row>
    <row r="643" spans="1:10" x14ac:dyDescent="0.25">
      <c r="A643" t="s">
        <v>68</v>
      </c>
      <c r="B643" s="4">
        <v>45201</v>
      </c>
      <c r="C643" t="s">
        <v>137</v>
      </c>
      <c r="D643">
        <v>100.13</v>
      </c>
      <c r="E643">
        <v>4730.7700000000004</v>
      </c>
      <c r="F643" t="s">
        <v>68</v>
      </c>
      <c r="G643">
        <f t="shared" ref="G643:G649" si="35">VALUE(D643)</f>
        <v>100.13</v>
      </c>
      <c r="H643">
        <f>SUMIF($F$2:$F$552,A643,$G$2:$G$552)</f>
        <v>3804.9400000000028</v>
      </c>
      <c r="I643" t="s">
        <v>475</v>
      </c>
    </row>
    <row r="644" spans="1:10" x14ac:dyDescent="0.25">
      <c r="A644" t="s">
        <v>24</v>
      </c>
      <c r="B644" s="4">
        <v>45201</v>
      </c>
      <c r="C644" t="s">
        <v>138</v>
      </c>
      <c r="D644">
        <v>100.09</v>
      </c>
      <c r="E644">
        <v>4830.8599999999997</v>
      </c>
      <c r="F644" t="s">
        <v>24</v>
      </c>
      <c r="G644">
        <f t="shared" si="35"/>
        <v>100.09</v>
      </c>
      <c r="H644">
        <f>SUMIF($F$2:$F$552,A644,$G$2:$G$552)</f>
        <v>4003.3300000000022</v>
      </c>
      <c r="I644" t="s">
        <v>475</v>
      </c>
    </row>
    <row r="645" spans="1:10" x14ac:dyDescent="0.25">
      <c r="B645" s="4">
        <v>45201</v>
      </c>
      <c r="C645" t="s">
        <v>466</v>
      </c>
      <c r="D645">
        <v>-16</v>
      </c>
      <c r="E645">
        <v>4814.8599999999997</v>
      </c>
      <c r="G645">
        <f t="shared" si="35"/>
        <v>-16</v>
      </c>
      <c r="H645">
        <f>SUMIF($F$2:$F$552,A645,$G$2:$G$552)</f>
        <v>0</v>
      </c>
      <c r="I645" t="s">
        <v>484</v>
      </c>
      <c r="J645" t="s">
        <v>489</v>
      </c>
    </row>
    <row r="646" spans="1:10" x14ac:dyDescent="0.25">
      <c r="A646" t="s">
        <v>28</v>
      </c>
      <c r="B646" s="4">
        <v>45202</v>
      </c>
      <c r="C646" t="s">
        <v>30</v>
      </c>
      <c r="D646">
        <v>300</v>
      </c>
      <c r="E646">
        <v>5114.8599999999997</v>
      </c>
      <c r="F646" t="s">
        <v>28</v>
      </c>
      <c r="G646">
        <f t="shared" si="35"/>
        <v>300</v>
      </c>
      <c r="H646">
        <f>SUMIF($F$2:$F$552,A646,$G$2:$G$552)</f>
        <v>2356.04</v>
      </c>
      <c r="I646" t="s">
        <v>475</v>
      </c>
    </row>
    <row r="647" spans="1:10" x14ac:dyDescent="0.25">
      <c r="A647" t="s">
        <v>19</v>
      </c>
      <c r="B647" s="4">
        <v>45202</v>
      </c>
      <c r="C647" t="s">
        <v>21</v>
      </c>
      <c r="D647">
        <v>100.05</v>
      </c>
      <c r="E647">
        <v>5214.91</v>
      </c>
      <c r="F647" t="s">
        <v>19</v>
      </c>
      <c r="G647">
        <f t="shared" si="35"/>
        <v>100.05</v>
      </c>
      <c r="H647">
        <f>SUMIF($F$2:$F$552,A647,$G$2:$G$552)</f>
        <v>4400.2000000000007</v>
      </c>
      <c r="I647" t="s">
        <v>475</v>
      </c>
    </row>
    <row r="648" spans="1:10" x14ac:dyDescent="0.25">
      <c r="A648" t="s">
        <v>5</v>
      </c>
      <c r="B648" s="4">
        <v>45215</v>
      </c>
      <c r="C648" t="s">
        <v>65</v>
      </c>
      <c r="D648">
        <v>50.02</v>
      </c>
      <c r="E648">
        <v>5264.93</v>
      </c>
      <c r="F648" t="s">
        <v>5</v>
      </c>
      <c r="G648">
        <f t="shared" si="35"/>
        <v>50.02</v>
      </c>
      <c r="H648">
        <f>SUMIF($F$2:$F$552,A648,$G$2:$G$552)</f>
        <v>2700.7599999999998</v>
      </c>
      <c r="I648" t="s">
        <v>475</v>
      </c>
    </row>
    <row r="649" spans="1:10" x14ac:dyDescent="0.25">
      <c r="A649" t="s">
        <v>14</v>
      </c>
      <c r="B649" s="4">
        <v>45229</v>
      </c>
      <c r="C649" t="s">
        <v>139</v>
      </c>
      <c r="D649">
        <v>100.06</v>
      </c>
      <c r="E649">
        <v>5364.99</v>
      </c>
      <c r="F649" t="s">
        <v>14</v>
      </c>
      <c r="G649">
        <f t="shared" si="35"/>
        <v>100.06</v>
      </c>
      <c r="H649">
        <f>SUMIF($F$2:$F$552,A649,$G$2:$G$552)</f>
        <v>2821.3799999999992</v>
      </c>
      <c r="I649" t="s">
        <v>475</v>
      </c>
    </row>
    <row r="650" spans="1:10" x14ac:dyDescent="0.25">
      <c r="A650" s="4"/>
    </row>
    <row r="651" spans="1:10" x14ac:dyDescent="0.25">
      <c r="A651" s="4"/>
    </row>
    <row r="652" spans="1:10" x14ac:dyDescent="0.25">
      <c r="A652" s="4"/>
      <c r="B652" s="4">
        <v>45231</v>
      </c>
      <c r="C652" t="s">
        <v>473</v>
      </c>
      <c r="E652">
        <v>5364.99</v>
      </c>
    </row>
    <row r="653" spans="1:10" x14ac:dyDescent="0.25">
      <c r="A653" t="s">
        <v>33</v>
      </c>
      <c r="B653" s="4">
        <v>45237</v>
      </c>
      <c r="C653" t="s">
        <v>140</v>
      </c>
      <c r="D653">
        <v>150.07</v>
      </c>
      <c r="E653">
        <v>5515.06</v>
      </c>
      <c r="F653" t="s">
        <v>33</v>
      </c>
      <c r="G653">
        <f>VALUE(D653)</f>
        <v>150.07</v>
      </c>
      <c r="H653">
        <f>SUMIF($F$2:$F$552,A653,$G$2:$G$552)</f>
        <v>2452.5199999999995</v>
      </c>
      <c r="I653" t="s">
        <v>475</v>
      </c>
    </row>
    <row r="654" spans="1:10" x14ac:dyDescent="0.25">
      <c r="A654" t="s">
        <v>24</v>
      </c>
      <c r="B654" s="4">
        <v>45239</v>
      </c>
      <c r="C654" t="s">
        <v>141</v>
      </c>
      <c r="D654">
        <v>100.09</v>
      </c>
      <c r="E654">
        <v>5615.15</v>
      </c>
      <c r="F654" t="s">
        <v>24</v>
      </c>
      <c r="G654">
        <f>VALUE(D654)</f>
        <v>100.09</v>
      </c>
      <c r="H654">
        <f>SUMIF($F$2:$F$552,A654,$G$2:$G$552)</f>
        <v>4003.3300000000022</v>
      </c>
      <c r="I654" t="s">
        <v>475</v>
      </c>
    </row>
    <row r="655" spans="1:10" x14ac:dyDescent="0.25">
      <c r="A655" t="s">
        <v>68</v>
      </c>
      <c r="B655" s="4">
        <v>45240</v>
      </c>
      <c r="C655" t="s">
        <v>142</v>
      </c>
      <c r="D655">
        <v>100.13</v>
      </c>
      <c r="E655">
        <v>5715.28</v>
      </c>
      <c r="F655" t="s">
        <v>68</v>
      </c>
      <c r="G655">
        <f>VALUE(D655)</f>
        <v>100.13</v>
      </c>
      <c r="H655">
        <f>SUMIF($F$2:$F$552,A655,$G$2:$G$552)</f>
        <v>3804.9400000000028</v>
      </c>
      <c r="I655" t="s">
        <v>475</v>
      </c>
    </row>
    <row r="656" spans="1:10" x14ac:dyDescent="0.25">
      <c r="A656" t="s">
        <v>5</v>
      </c>
      <c r="B656" s="4">
        <v>45246</v>
      </c>
      <c r="C656" t="s">
        <v>65</v>
      </c>
      <c r="D656">
        <v>50.02</v>
      </c>
      <c r="E656">
        <v>5765.3</v>
      </c>
      <c r="F656" t="s">
        <v>5</v>
      </c>
      <c r="G656">
        <f>VALUE(D656)</f>
        <v>50.02</v>
      </c>
      <c r="H656">
        <f>SUMIF($F$2:$F$552,A656,$G$2:$G$552)</f>
        <v>2700.7599999999998</v>
      </c>
      <c r="I656" t="s">
        <v>475</v>
      </c>
    </row>
    <row r="657" spans="1:9" x14ac:dyDescent="0.25">
      <c r="A657" s="4"/>
    </row>
    <row r="658" spans="1:9" x14ac:dyDescent="0.25">
      <c r="A658" s="4"/>
    </row>
    <row r="659" spans="1:9" x14ac:dyDescent="0.25">
      <c r="A659" s="4"/>
    </row>
    <row r="660" spans="1:9" x14ac:dyDescent="0.25">
      <c r="A660" t="s">
        <v>28</v>
      </c>
      <c r="B660" s="4">
        <v>45266</v>
      </c>
      <c r="C660" t="s">
        <v>30</v>
      </c>
      <c r="D660">
        <v>100</v>
      </c>
      <c r="E660">
        <v>5865.3</v>
      </c>
      <c r="F660" t="s">
        <v>28</v>
      </c>
      <c r="G660">
        <f>VALUE(D660)</f>
        <v>100</v>
      </c>
      <c r="H660">
        <f>SUMIF($F$2:$F$552,A660,$G$2:$G$552)</f>
        <v>2356.04</v>
      </c>
      <c r="I660" t="s">
        <v>475</v>
      </c>
    </row>
    <row r="661" spans="1:9" x14ac:dyDescent="0.25">
      <c r="A661" t="s">
        <v>24</v>
      </c>
      <c r="B661" s="4">
        <v>45267</v>
      </c>
      <c r="C661" t="s">
        <v>143</v>
      </c>
      <c r="D661">
        <v>100.09</v>
      </c>
      <c r="E661">
        <v>5965.39</v>
      </c>
      <c r="F661" t="s">
        <v>24</v>
      </c>
      <c r="G661">
        <f>VALUE(D661)</f>
        <v>100.09</v>
      </c>
      <c r="H661">
        <f>SUMIF($F$2:$F$552,A661,$G$2:$G$552)</f>
        <v>4003.3300000000022</v>
      </c>
      <c r="I661" t="s">
        <v>475</v>
      </c>
    </row>
    <row r="662" spans="1:9" x14ac:dyDescent="0.25">
      <c r="A662" t="s">
        <v>33</v>
      </c>
      <c r="B662" s="4">
        <v>45267</v>
      </c>
      <c r="C662" t="s">
        <v>144</v>
      </c>
      <c r="D662">
        <v>50.07</v>
      </c>
      <c r="E662">
        <v>6015.46</v>
      </c>
      <c r="F662" t="s">
        <v>33</v>
      </c>
      <c r="G662">
        <f t="shared" ref="G662:G667" si="36">VALUE(D662)</f>
        <v>50.07</v>
      </c>
      <c r="H662">
        <f>SUMIF($F$2:$F$552,A662,$G$2:$G$552)</f>
        <v>2452.5199999999995</v>
      </c>
      <c r="I662" t="s">
        <v>475</v>
      </c>
    </row>
    <row r="663" spans="1:9" x14ac:dyDescent="0.25">
      <c r="A663" t="s">
        <v>68</v>
      </c>
      <c r="B663" s="4">
        <v>45268</v>
      </c>
      <c r="C663" t="s">
        <v>145</v>
      </c>
      <c r="D663">
        <v>100.13</v>
      </c>
      <c r="E663">
        <v>6115.59</v>
      </c>
      <c r="F663" t="s">
        <v>68</v>
      </c>
      <c r="G663">
        <f t="shared" si="36"/>
        <v>100.13</v>
      </c>
      <c r="H663">
        <f>SUMIF($F$2:$F$552,A663,$G$2:$G$552)</f>
        <v>3804.9400000000028</v>
      </c>
      <c r="I663" t="s">
        <v>475</v>
      </c>
    </row>
    <row r="664" spans="1:9" x14ac:dyDescent="0.25">
      <c r="A664" t="s">
        <v>42</v>
      </c>
      <c r="B664" s="4">
        <v>45271</v>
      </c>
      <c r="C664" t="s">
        <v>146</v>
      </c>
      <c r="D664">
        <v>150</v>
      </c>
      <c r="E664">
        <v>6265.59</v>
      </c>
      <c r="F664" t="s">
        <v>42</v>
      </c>
      <c r="G664">
        <f t="shared" si="36"/>
        <v>150</v>
      </c>
      <c r="H664">
        <f>SUMIF($F$2:$F$552,A664,$G$2:$G$552)</f>
        <v>3400.06</v>
      </c>
      <c r="I664" t="s">
        <v>475</v>
      </c>
    </row>
    <row r="665" spans="1:9" x14ac:dyDescent="0.25">
      <c r="A665" t="s">
        <v>5</v>
      </c>
      <c r="B665" s="4">
        <v>45278</v>
      </c>
      <c r="C665" t="s">
        <v>65</v>
      </c>
      <c r="D665">
        <v>50.02</v>
      </c>
      <c r="E665">
        <v>6315.61</v>
      </c>
      <c r="F665" t="s">
        <v>5</v>
      </c>
      <c r="G665">
        <f t="shared" si="36"/>
        <v>50.02</v>
      </c>
      <c r="H665">
        <f>SUMIF($F$2:$F$552,A665,$G$2:$G$552)</f>
        <v>2700.7599999999998</v>
      </c>
      <c r="I665" t="s">
        <v>475</v>
      </c>
    </row>
    <row r="666" spans="1:9" x14ac:dyDescent="0.25">
      <c r="A666" t="s">
        <v>14</v>
      </c>
      <c r="B666" s="4">
        <v>45281</v>
      </c>
      <c r="C666" t="s">
        <v>147</v>
      </c>
      <c r="D666">
        <v>100</v>
      </c>
      <c r="E666">
        <v>6415.61</v>
      </c>
      <c r="F666" t="s">
        <v>14</v>
      </c>
      <c r="G666">
        <f t="shared" si="36"/>
        <v>100</v>
      </c>
      <c r="H666">
        <f>SUMIF($F$2:$F$552,A666,$G$2:$G$552)</f>
        <v>2821.3799999999992</v>
      </c>
      <c r="I666" t="s">
        <v>475</v>
      </c>
    </row>
    <row r="667" spans="1:9" x14ac:dyDescent="0.25">
      <c r="A667" t="s">
        <v>24</v>
      </c>
      <c r="B667" s="4">
        <v>45289</v>
      </c>
      <c r="C667" t="s">
        <v>148</v>
      </c>
      <c r="D667">
        <v>100.09</v>
      </c>
      <c r="E667">
        <v>6515.7</v>
      </c>
      <c r="F667" t="s">
        <v>24</v>
      </c>
      <c r="G667">
        <f t="shared" si="36"/>
        <v>100.09</v>
      </c>
      <c r="H667">
        <f>SUMIF($F$2:$F$552,A667,$G$2:$G$552)</f>
        <v>4003.3300000000022</v>
      </c>
      <c r="I667" t="s">
        <v>475</v>
      </c>
    </row>
    <row r="668" spans="1:9" x14ac:dyDescent="0.25">
      <c r="A668" s="4"/>
    </row>
    <row r="669" spans="1:9" x14ac:dyDescent="0.25">
      <c r="B669" t="s">
        <v>11</v>
      </c>
      <c r="C669" t="s">
        <v>458</v>
      </c>
      <c r="D669" t="s">
        <v>459</v>
      </c>
      <c r="E669" t="s">
        <v>460</v>
      </c>
    </row>
    <row r="670" spans="1:9" x14ac:dyDescent="0.25">
      <c r="A670" t="s">
        <v>10</v>
      </c>
      <c r="B670" t="s">
        <v>11</v>
      </c>
      <c r="C670" t="s">
        <v>12</v>
      </c>
      <c r="D670" t="s">
        <v>13</v>
      </c>
      <c r="E670" t="s">
        <v>13</v>
      </c>
      <c r="F670" t="s">
        <v>10</v>
      </c>
      <c r="G670">
        <f>VALUE(D670)</f>
        <v>100</v>
      </c>
      <c r="I670" t="s">
        <v>475</v>
      </c>
    </row>
    <row r="671" spans="1:9" x14ac:dyDescent="0.25">
      <c r="B671" t="s">
        <v>461</v>
      </c>
      <c r="C671" t="s">
        <v>462</v>
      </c>
      <c r="E671" t="s">
        <v>13</v>
      </c>
    </row>
    <row r="672" spans="1:9" x14ac:dyDescent="0.25">
      <c r="A672" t="s">
        <v>14</v>
      </c>
      <c r="B672" t="s">
        <v>15</v>
      </c>
      <c r="C672" t="s">
        <v>16</v>
      </c>
      <c r="D672" t="s">
        <v>17</v>
      </c>
      <c r="E672" t="s">
        <v>18</v>
      </c>
      <c r="F672" t="s">
        <v>14</v>
      </c>
      <c r="G672">
        <f>VALUE(D672)</f>
        <v>200</v>
      </c>
      <c r="I672" t="s">
        <v>475</v>
      </c>
    </row>
    <row r="673" spans="1:10" x14ac:dyDescent="0.25">
      <c r="B673" t="s">
        <v>43</v>
      </c>
      <c r="C673" t="s">
        <v>463</v>
      </c>
      <c r="E673" t="s">
        <v>41</v>
      </c>
    </row>
    <row r="674" spans="1:10" x14ac:dyDescent="0.25">
      <c r="B674" t="s">
        <v>464</v>
      </c>
      <c r="C674" t="s">
        <v>465</v>
      </c>
      <c r="E674" t="s">
        <v>91</v>
      </c>
    </row>
    <row r="675" spans="1:10" x14ac:dyDescent="0.25">
      <c r="B675" t="s">
        <v>92</v>
      </c>
      <c r="C675" t="s">
        <v>466</v>
      </c>
      <c r="D675" t="s">
        <v>467</v>
      </c>
      <c r="E675" t="s">
        <v>468</v>
      </c>
      <c r="I675" t="s">
        <v>480</v>
      </c>
      <c r="J675" t="s">
        <v>489</v>
      </c>
    </row>
    <row r="676" spans="1:10" x14ac:dyDescent="0.25">
      <c r="B676" t="s">
        <v>459</v>
      </c>
      <c r="C676" t="s">
        <v>459</v>
      </c>
      <c r="D676" t="s">
        <v>459</v>
      </c>
      <c r="E676" t="s">
        <v>459</v>
      </c>
    </row>
    <row r="678" spans="1:10" x14ac:dyDescent="0.25">
      <c r="B678" s="4">
        <v>45290</v>
      </c>
      <c r="C678" t="s">
        <v>474</v>
      </c>
      <c r="E678">
        <v>6515.7</v>
      </c>
    </row>
    <row r="679" spans="1:10" x14ac:dyDescent="0.25">
      <c r="A679" t="s">
        <v>68</v>
      </c>
      <c r="B679" s="4">
        <v>45296</v>
      </c>
      <c r="C679" t="s">
        <v>149</v>
      </c>
      <c r="D679">
        <v>100.13</v>
      </c>
      <c r="E679">
        <v>6615.83</v>
      </c>
      <c r="F679" t="s">
        <v>68</v>
      </c>
      <c r="G679">
        <f t="shared" ref="G679:G685" si="37">VALUE(D679)</f>
        <v>100.13</v>
      </c>
      <c r="H679">
        <f>SUMIF($F$2:$F$552,A679,$G$2:$G$552)</f>
        <v>3804.9400000000028</v>
      </c>
      <c r="I679" t="s">
        <v>475</v>
      </c>
    </row>
    <row r="680" spans="1:10" x14ac:dyDescent="0.25">
      <c r="A680" t="s">
        <v>42</v>
      </c>
      <c r="B680" s="4">
        <v>45301</v>
      </c>
      <c r="C680" t="s">
        <v>150</v>
      </c>
      <c r="D680">
        <v>150</v>
      </c>
      <c r="E680">
        <v>6765.83</v>
      </c>
      <c r="F680" t="s">
        <v>42</v>
      </c>
      <c r="G680">
        <f t="shared" si="37"/>
        <v>150</v>
      </c>
      <c r="H680">
        <f>SUMIF($F$2:$F$552,A680,$G$2:$G$552)</f>
        <v>3400.06</v>
      </c>
      <c r="I680" t="s">
        <v>475</v>
      </c>
    </row>
    <row r="681" spans="1:10" x14ac:dyDescent="0.25">
      <c r="A681" t="s">
        <v>151</v>
      </c>
      <c r="B681" s="4">
        <v>45307</v>
      </c>
      <c r="C681" t="s">
        <v>152</v>
      </c>
      <c r="D681">
        <v>150</v>
      </c>
      <c r="E681">
        <v>6915.83</v>
      </c>
      <c r="F681" t="s">
        <v>151</v>
      </c>
      <c r="G681">
        <f t="shared" si="37"/>
        <v>150</v>
      </c>
      <c r="H681">
        <f>SUMIF($F$2:$F$552,A681,$G$2:$G$552)</f>
        <v>350</v>
      </c>
      <c r="I681" t="s">
        <v>475</v>
      </c>
    </row>
    <row r="682" spans="1:10" x14ac:dyDescent="0.25">
      <c r="A682" t="s">
        <v>5</v>
      </c>
      <c r="B682" s="4">
        <v>45307</v>
      </c>
      <c r="C682" t="s">
        <v>65</v>
      </c>
      <c r="D682">
        <v>50.02</v>
      </c>
      <c r="E682">
        <v>6965.85</v>
      </c>
      <c r="F682" t="s">
        <v>5</v>
      </c>
      <c r="G682">
        <f t="shared" si="37"/>
        <v>50.02</v>
      </c>
      <c r="H682">
        <f>SUMIF($F$2:$F$552,A682,$G$2:$G$552)</f>
        <v>2700.7599999999998</v>
      </c>
      <c r="I682" t="s">
        <v>475</v>
      </c>
    </row>
    <row r="683" spans="1:10" x14ac:dyDescent="0.25">
      <c r="A683" t="s">
        <v>33</v>
      </c>
      <c r="B683" s="4">
        <v>45313</v>
      </c>
      <c r="C683" t="s">
        <v>153</v>
      </c>
      <c r="D683">
        <v>50.07</v>
      </c>
      <c r="E683">
        <v>7015.92</v>
      </c>
      <c r="F683" t="s">
        <v>33</v>
      </c>
      <c r="G683">
        <f t="shared" si="37"/>
        <v>50.07</v>
      </c>
      <c r="H683">
        <f>SUMIF($F$2:$F$552,A683,$G$2:$G$552)</f>
        <v>2452.5199999999995</v>
      </c>
      <c r="I683" t="s">
        <v>475</v>
      </c>
    </row>
    <row r="684" spans="1:10" x14ac:dyDescent="0.25">
      <c r="B684" s="4">
        <v>45321</v>
      </c>
      <c r="C684" t="s">
        <v>154</v>
      </c>
      <c r="D684">
        <v>-269.92</v>
      </c>
      <c r="E684">
        <v>6746</v>
      </c>
      <c r="G684">
        <f t="shared" si="37"/>
        <v>-269.92</v>
      </c>
      <c r="H684">
        <f>SUMIF($F$2:$F$552,A684,$G$2:$G$552)</f>
        <v>0</v>
      </c>
      <c r="I684" t="s">
        <v>480</v>
      </c>
    </row>
    <row r="685" spans="1:10" x14ac:dyDescent="0.25">
      <c r="A685" t="s">
        <v>14</v>
      </c>
      <c r="B685" s="4">
        <v>45322</v>
      </c>
      <c r="C685" t="s">
        <v>155</v>
      </c>
      <c r="D685">
        <v>100.06</v>
      </c>
      <c r="E685">
        <v>6846.06</v>
      </c>
      <c r="F685" t="s">
        <v>14</v>
      </c>
      <c r="G685">
        <f t="shared" si="37"/>
        <v>100.06</v>
      </c>
      <c r="H685">
        <f>SUMIF($F$2:$F$552,A685,$G$2:$G$552)</f>
        <v>2821.3799999999992</v>
      </c>
      <c r="I685" t="s">
        <v>475</v>
      </c>
    </row>
    <row r="688" spans="1:10" x14ac:dyDescent="0.25">
      <c r="A688" t="s">
        <v>24</v>
      </c>
      <c r="B688" s="4">
        <v>45324</v>
      </c>
      <c r="C688" t="s">
        <v>156</v>
      </c>
      <c r="D688">
        <v>100.09</v>
      </c>
      <c r="E688">
        <v>6946.15</v>
      </c>
      <c r="F688" t="s">
        <v>24</v>
      </c>
      <c r="G688">
        <f t="shared" ref="G688:G695" si="38">VALUE(D688)</f>
        <v>100.09</v>
      </c>
      <c r="H688">
        <f>SUMIF($F$2:$F$552,A688,$G$2:$G$552)</f>
        <v>4003.3300000000022</v>
      </c>
      <c r="I688" t="s">
        <v>475</v>
      </c>
    </row>
    <row r="689" spans="1:9" x14ac:dyDescent="0.25">
      <c r="A689" t="s">
        <v>28</v>
      </c>
      <c r="B689" s="4">
        <v>45328</v>
      </c>
      <c r="C689" t="s">
        <v>30</v>
      </c>
      <c r="D689">
        <v>200</v>
      </c>
      <c r="E689">
        <v>7146.15</v>
      </c>
      <c r="F689" t="s">
        <v>28</v>
      </c>
      <c r="G689">
        <f t="shared" si="38"/>
        <v>200</v>
      </c>
      <c r="H689">
        <f>SUMIF($F$2:$F$552,A689,$G$2:$G$552)</f>
        <v>2356.04</v>
      </c>
      <c r="I689" t="s">
        <v>475</v>
      </c>
    </row>
    <row r="690" spans="1:9" x14ac:dyDescent="0.25">
      <c r="A690" t="s">
        <v>42</v>
      </c>
      <c r="B690" s="4">
        <v>45334</v>
      </c>
      <c r="C690" t="s">
        <v>157</v>
      </c>
      <c r="D690">
        <v>150</v>
      </c>
      <c r="E690">
        <v>7296.15</v>
      </c>
      <c r="F690" t="s">
        <v>42</v>
      </c>
      <c r="G690">
        <f t="shared" si="38"/>
        <v>150</v>
      </c>
      <c r="H690">
        <f>SUMIF($F$2:$F$552,A690,$G$2:$G$552)</f>
        <v>3400.06</v>
      </c>
      <c r="I690" t="s">
        <v>475</v>
      </c>
    </row>
    <row r="691" spans="1:9" x14ac:dyDescent="0.25">
      <c r="A691" t="s">
        <v>68</v>
      </c>
      <c r="B691" s="4">
        <v>45334</v>
      </c>
      <c r="C691" t="s">
        <v>158</v>
      </c>
      <c r="D691">
        <v>100.13</v>
      </c>
      <c r="E691">
        <v>7396.28</v>
      </c>
      <c r="F691" t="s">
        <v>68</v>
      </c>
      <c r="G691">
        <f t="shared" si="38"/>
        <v>100.13</v>
      </c>
      <c r="H691">
        <f>SUMIF($F$2:$F$552,A691,$G$2:$G$552)</f>
        <v>3804.9400000000028</v>
      </c>
      <c r="I691" t="s">
        <v>475</v>
      </c>
    </row>
    <row r="692" spans="1:9" x14ac:dyDescent="0.25">
      <c r="A692" t="s">
        <v>5</v>
      </c>
      <c r="B692" s="4">
        <v>45338</v>
      </c>
      <c r="C692" t="s">
        <v>65</v>
      </c>
      <c r="D692">
        <v>50.02</v>
      </c>
      <c r="E692">
        <v>7446.3</v>
      </c>
      <c r="F692" t="s">
        <v>5</v>
      </c>
      <c r="G692">
        <f t="shared" si="38"/>
        <v>50.02</v>
      </c>
      <c r="H692">
        <f>SUMIF($F$2:$F$552,A692,$G$2:$G$552)</f>
        <v>2700.7599999999998</v>
      </c>
      <c r="I692" t="s">
        <v>475</v>
      </c>
    </row>
    <row r="693" spans="1:9" x14ac:dyDescent="0.25">
      <c r="A693" t="s">
        <v>73</v>
      </c>
      <c r="B693" s="4">
        <v>45343</v>
      </c>
      <c r="C693" t="s">
        <v>159</v>
      </c>
      <c r="D693">
        <v>100.04</v>
      </c>
      <c r="E693">
        <v>7546.34</v>
      </c>
      <c r="F693" t="s">
        <v>73</v>
      </c>
      <c r="G693">
        <f t="shared" si="38"/>
        <v>100.04</v>
      </c>
      <c r="H693">
        <f>SUMIF($F$2:$F$552,A693,$G$2:$G$552)</f>
        <v>2400.8399999999997</v>
      </c>
      <c r="I693" t="s">
        <v>475</v>
      </c>
    </row>
    <row r="694" spans="1:9" x14ac:dyDescent="0.25">
      <c r="A694" t="s">
        <v>33</v>
      </c>
      <c r="B694" s="4">
        <v>45348</v>
      </c>
      <c r="C694" t="s">
        <v>160</v>
      </c>
      <c r="D694">
        <v>50.07</v>
      </c>
      <c r="E694">
        <v>7596.41</v>
      </c>
      <c r="F694" t="s">
        <v>33</v>
      </c>
      <c r="G694">
        <f t="shared" si="38"/>
        <v>50.07</v>
      </c>
      <c r="H694">
        <f>SUMIF($F$2:$F$552,A694,$G$2:$G$552)</f>
        <v>2452.5199999999995</v>
      </c>
      <c r="I694" t="s">
        <v>475</v>
      </c>
    </row>
    <row r="695" spans="1:9" x14ac:dyDescent="0.25">
      <c r="A695" t="s">
        <v>24</v>
      </c>
      <c r="B695" s="4">
        <v>45351</v>
      </c>
      <c r="C695" t="s">
        <v>161</v>
      </c>
      <c r="D695">
        <v>100.09</v>
      </c>
      <c r="E695">
        <v>7696.5</v>
      </c>
      <c r="F695" t="s">
        <v>24</v>
      </c>
      <c r="G695">
        <f t="shared" si="38"/>
        <v>100.09</v>
      </c>
      <c r="H695">
        <f>SUMIF($F$2:$F$552,A695,$G$2:$G$552)</f>
        <v>4003.3300000000022</v>
      </c>
      <c r="I695" t="s">
        <v>475</v>
      </c>
    </row>
    <row r="698" spans="1:9" x14ac:dyDescent="0.25">
      <c r="B698" s="4">
        <v>45352</v>
      </c>
      <c r="C698" t="s">
        <v>162</v>
      </c>
      <c r="E698">
        <v>7696.5</v>
      </c>
    </row>
    <row r="699" spans="1:9" x14ac:dyDescent="0.25">
      <c r="A699" t="s">
        <v>68</v>
      </c>
      <c r="B699" s="4">
        <v>45359</v>
      </c>
      <c r="C699" t="s">
        <v>163</v>
      </c>
      <c r="D699">
        <v>100.13</v>
      </c>
      <c r="E699">
        <v>7796.63</v>
      </c>
      <c r="F699" t="s">
        <v>68</v>
      </c>
      <c r="G699">
        <f>VALUE(D699)</f>
        <v>100.13</v>
      </c>
      <c r="H699">
        <f>SUMIF($F$2:$F$552,A699,$G$2:$G$552)</f>
        <v>3804.9400000000028</v>
      </c>
      <c r="I699" t="s">
        <v>475</v>
      </c>
    </row>
    <row r="700" spans="1:9" x14ac:dyDescent="0.25">
      <c r="A700" t="s">
        <v>42</v>
      </c>
      <c r="B700" s="4">
        <v>45362</v>
      </c>
      <c r="C700" t="s">
        <v>164</v>
      </c>
      <c r="D700">
        <v>150</v>
      </c>
      <c r="E700">
        <v>7946.63</v>
      </c>
      <c r="F700" t="s">
        <v>42</v>
      </c>
      <c r="G700">
        <f>VALUE(D700)</f>
        <v>150</v>
      </c>
      <c r="H700">
        <f>SUMIF($F$2:$F$552,A700,$G$2:$G$552)</f>
        <v>3400.06</v>
      </c>
      <c r="I700" t="s">
        <v>475</v>
      </c>
    </row>
    <row r="701" spans="1:9" x14ac:dyDescent="0.25">
      <c r="A701" t="s">
        <v>5</v>
      </c>
      <c r="B701" s="4">
        <v>45369</v>
      </c>
      <c r="C701" t="s">
        <v>65</v>
      </c>
      <c r="D701">
        <v>50.02</v>
      </c>
      <c r="E701">
        <v>7996.65</v>
      </c>
      <c r="F701" t="s">
        <v>5</v>
      </c>
      <c r="G701">
        <f>VALUE(D701)</f>
        <v>50.02</v>
      </c>
      <c r="H701">
        <f>SUMIF($F$2:$F$552,A701,$G$2:$G$552)</f>
        <v>2700.7599999999998</v>
      </c>
      <c r="I701" t="s">
        <v>475</v>
      </c>
    </row>
    <row r="704" spans="1:9" x14ac:dyDescent="0.25">
      <c r="A704" t="s">
        <v>33</v>
      </c>
      <c r="B704" s="4">
        <v>45383</v>
      </c>
      <c r="C704" t="s">
        <v>165</v>
      </c>
      <c r="D704">
        <v>100.07</v>
      </c>
      <c r="E704">
        <v>8096.72</v>
      </c>
      <c r="F704" t="s">
        <v>33</v>
      </c>
      <c r="G704">
        <f t="shared" ref="G704:G709" si="39">VALUE(D704)</f>
        <v>100.07</v>
      </c>
      <c r="H704">
        <f>SUMIF($F$2:$F$552,A704,$G$2:$G$552)</f>
        <v>2452.5199999999995</v>
      </c>
      <c r="I704" t="s">
        <v>475</v>
      </c>
    </row>
    <row r="705" spans="1:9" x14ac:dyDescent="0.25">
      <c r="A705" t="s">
        <v>68</v>
      </c>
      <c r="B705" s="4">
        <v>45390</v>
      </c>
      <c r="C705" t="s">
        <v>166</v>
      </c>
      <c r="D705">
        <v>100.13</v>
      </c>
      <c r="E705">
        <v>8196.85</v>
      </c>
      <c r="F705" t="s">
        <v>68</v>
      </c>
      <c r="G705">
        <f t="shared" si="39"/>
        <v>100.13</v>
      </c>
      <c r="H705">
        <f>SUMIF($F$2:$F$552,A705,$G$2:$G$552)</f>
        <v>3804.9400000000028</v>
      </c>
      <c r="I705" t="s">
        <v>475</v>
      </c>
    </row>
    <row r="706" spans="1:9" x14ac:dyDescent="0.25">
      <c r="A706" t="s">
        <v>24</v>
      </c>
      <c r="B706" s="4">
        <v>45390</v>
      </c>
      <c r="C706" t="s">
        <v>167</v>
      </c>
      <c r="D706">
        <v>100.09</v>
      </c>
      <c r="E706">
        <v>8296.94</v>
      </c>
      <c r="F706" t="s">
        <v>24</v>
      </c>
      <c r="G706">
        <f t="shared" si="39"/>
        <v>100.09</v>
      </c>
      <c r="H706">
        <f>SUMIF($F$2:$F$552,A706,$G$2:$G$552)</f>
        <v>4003.3300000000022</v>
      </c>
      <c r="I706" t="s">
        <v>475</v>
      </c>
    </row>
    <row r="707" spans="1:9" x14ac:dyDescent="0.25">
      <c r="A707" t="s">
        <v>28</v>
      </c>
      <c r="B707" s="4">
        <v>45390</v>
      </c>
      <c r="C707" t="s">
        <v>30</v>
      </c>
      <c r="D707">
        <v>100</v>
      </c>
      <c r="E707">
        <v>8396.94</v>
      </c>
      <c r="F707" t="s">
        <v>28</v>
      </c>
      <c r="G707">
        <f t="shared" si="39"/>
        <v>100</v>
      </c>
      <c r="H707">
        <f>SUMIF($F$2:$F$552,A707,$G$2:$G$552)</f>
        <v>2356.04</v>
      </c>
      <c r="I707" t="s">
        <v>475</v>
      </c>
    </row>
    <row r="708" spans="1:9" x14ac:dyDescent="0.25">
      <c r="A708" t="s">
        <v>5</v>
      </c>
      <c r="B708" s="4">
        <v>45398</v>
      </c>
      <c r="C708" t="s">
        <v>65</v>
      </c>
      <c r="D708">
        <v>50.02</v>
      </c>
      <c r="E708">
        <v>8446.9599999999991</v>
      </c>
      <c r="F708" t="s">
        <v>5</v>
      </c>
      <c r="G708">
        <f t="shared" si="39"/>
        <v>50.02</v>
      </c>
      <c r="H708">
        <f>SUMIF($F$2:$F$552,A708,$G$2:$G$552)</f>
        <v>2700.7599999999998</v>
      </c>
      <c r="I708" t="s">
        <v>475</v>
      </c>
    </row>
    <row r="709" spans="1:9" x14ac:dyDescent="0.25">
      <c r="A709" t="s">
        <v>33</v>
      </c>
      <c r="B709" s="4">
        <v>45412</v>
      </c>
      <c r="C709" t="s">
        <v>168</v>
      </c>
      <c r="D709">
        <v>50.07</v>
      </c>
      <c r="E709">
        <v>8497.0300000000007</v>
      </c>
      <c r="F709" t="s">
        <v>33</v>
      </c>
      <c r="G709">
        <f t="shared" si="39"/>
        <v>50.07</v>
      </c>
      <c r="H709">
        <f>SUMIF($F$2:$F$552,A709,$G$2:$G$552)</f>
        <v>2452.5199999999995</v>
      </c>
      <c r="I709" t="s">
        <v>475</v>
      </c>
    </row>
    <row r="712" spans="1:9" x14ac:dyDescent="0.25">
      <c r="A712" t="s">
        <v>24</v>
      </c>
      <c r="B712" s="4">
        <v>45414</v>
      </c>
      <c r="C712" t="s">
        <v>169</v>
      </c>
      <c r="D712">
        <v>100.09</v>
      </c>
      <c r="E712">
        <v>8597.1200000000008</v>
      </c>
      <c r="F712" t="s">
        <v>24</v>
      </c>
      <c r="G712">
        <f t="shared" ref="G712:G722" si="40">VALUE(D712)</f>
        <v>100.09</v>
      </c>
      <c r="H712">
        <f>SUMIF($F$2:$F$552,A712,$G$2:$G$552)</f>
        <v>4003.3300000000022</v>
      </c>
      <c r="I712" t="s">
        <v>475</v>
      </c>
    </row>
    <row r="713" spans="1:9" x14ac:dyDescent="0.25">
      <c r="A713" t="s">
        <v>33</v>
      </c>
      <c r="B713" s="4">
        <v>45418</v>
      </c>
      <c r="C713" t="s">
        <v>170</v>
      </c>
      <c r="D713">
        <v>50.07</v>
      </c>
      <c r="E713">
        <v>8647.19</v>
      </c>
      <c r="F713" t="s">
        <v>33</v>
      </c>
      <c r="G713">
        <f t="shared" si="40"/>
        <v>50.07</v>
      </c>
      <c r="H713">
        <f>SUMIF($F$2:$F$552,A713,$G$2:$G$552)</f>
        <v>2452.5199999999995</v>
      </c>
      <c r="I713" t="s">
        <v>475</v>
      </c>
    </row>
    <row r="714" spans="1:9" x14ac:dyDescent="0.25">
      <c r="A714" t="s">
        <v>14</v>
      </c>
      <c r="B714" s="4">
        <v>45421</v>
      </c>
      <c r="C714" t="s">
        <v>171</v>
      </c>
      <c r="D714">
        <v>100</v>
      </c>
      <c r="E714">
        <v>8747.19</v>
      </c>
      <c r="F714" t="s">
        <v>14</v>
      </c>
      <c r="G714">
        <f t="shared" si="40"/>
        <v>100</v>
      </c>
      <c r="H714">
        <f>SUMIF($F$2:$F$552,A714,$G$2:$G$552)</f>
        <v>2821.3799999999992</v>
      </c>
      <c r="I714" t="s">
        <v>475</v>
      </c>
    </row>
    <row r="715" spans="1:9" x14ac:dyDescent="0.25">
      <c r="A715" t="s">
        <v>42</v>
      </c>
      <c r="B715" s="4">
        <v>45422</v>
      </c>
      <c r="C715" t="s">
        <v>172</v>
      </c>
      <c r="D715">
        <v>150</v>
      </c>
      <c r="E715">
        <v>8897.19</v>
      </c>
      <c r="F715" t="s">
        <v>42</v>
      </c>
      <c r="G715">
        <f t="shared" si="40"/>
        <v>150</v>
      </c>
      <c r="H715">
        <f>SUMIF($F$2:$F$552,A715,$G$2:$G$552)</f>
        <v>3400.06</v>
      </c>
      <c r="I715" t="s">
        <v>475</v>
      </c>
    </row>
    <row r="716" spans="1:9" x14ac:dyDescent="0.25">
      <c r="A716" t="s">
        <v>68</v>
      </c>
      <c r="B716" s="4">
        <v>45422</v>
      </c>
      <c r="C716" t="s">
        <v>173</v>
      </c>
      <c r="D716">
        <v>100.13</v>
      </c>
      <c r="E716">
        <v>8997.32</v>
      </c>
      <c r="F716" t="s">
        <v>68</v>
      </c>
      <c r="G716">
        <f t="shared" si="40"/>
        <v>100.13</v>
      </c>
      <c r="H716">
        <f>SUMIF($F$2:$F$552,A716,$G$2:$G$552)</f>
        <v>3804.9400000000028</v>
      </c>
      <c r="I716" t="s">
        <v>475</v>
      </c>
    </row>
    <row r="717" spans="1:9" x14ac:dyDescent="0.25">
      <c r="A717" t="s">
        <v>14</v>
      </c>
      <c r="B717" s="4">
        <v>45422</v>
      </c>
      <c r="C717" t="s">
        <v>174</v>
      </c>
      <c r="D717">
        <v>50</v>
      </c>
      <c r="E717">
        <v>9047.32</v>
      </c>
      <c r="F717" t="s">
        <v>14</v>
      </c>
      <c r="G717">
        <f t="shared" si="40"/>
        <v>50</v>
      </c>
      <c r="H717">
        <f>SUMIF($F$2:$F$552,A717,$G$2:$G$552)</f>
        <v>2821.3799999999992</v>
      </c>
      <c r="I717" t="s">
        <v>475</v>
      </c>
    </row>
    <row r="718" spans="1:9" x14ac:dyDescent="0.25">
      <c r="A718" t="s">
        <v>73</v>
      </c>
      <c r="B718" s="4">
        <v>45425</v>
      </c>
      <c r="C718" t="s">
        <v>175</v>
      </c>
      <c r="D718">
        <v>100</v>
      </c>
      <c r="E718">
        <v>9147.32</v>
      </c>
      <c r="F718" t="s">
        <v>73</v>
      </c>
      <c r="G718">
        <f t="shared" si="40"/>
        <v>100</v>
      </c>
      <c r="H718">
        <f>SUMIF($F$2:$F$552,A718,$G$2:$G$552)</f>
        <v>2400.8399999999997</v>
      </c>
      <c r="I718" t="s">
        <v>475</v>
      </c>
    </row>
    <row r="719" spans="1:9" x14ac:dyDescent="0.25">
      <c r="A719" t="s">
        <v>5</v>
      </c>
      <c r="B719" s="4">
        <v>45428</v>
      </c>
      <c r="C719" t="s">
        <v>65</v>
      </c>
      <c r="D719">
        <v>50.02</v>
      </c>
      <c r="E719">
        <v>9197.34</v>
      </c>
      <c r="F719" t="s">
        <v>5</v>
      </c>
      <c r="G719">
        <f t="shared" si="40"/>
        <v>50.02</v>
      </c>
      <c r="H719">
        <f>SUMIF($F$2:$F$552,A719,$G$2:$G$552)</f>
        <v>2700.7599999999998</v>
      </c>
      <c r="I719" t="s">
        <v>475</v>
      </c>
    </row>
    <row r="720" spans="1:9" x14ac:dyDescent="0.25">
      <c r="A720" t="s">
        <v>151</v>
      </c>
      <c r="B720" s="4">
        <v>45432</v>
      </c>
      <c r="C720" t="s">
        <v>176</v>
      </c>
      <c r="D720">
        <v>200</v>
      </c>
      <c r="E720">
        <v>9397.34</v>
      </c>
      <c r="F720" t="s">
        <v>151</v>
      </c>
      <c r="G720">
        <f t="shared" si="40"/>
        <v>200</v>
      </c>
      <c r="H720">
        <f>SUMIF($F$2:$F$552,A720,$G$2:$G$552)</f>
        <v>350</v>
      </c>
      <c r="I720" t="s">
        <v>475</v>
      </c>
    </row>
    <row r="721" spans="1:11" x14ac:dyDescent="0.25">
      <c r="A721" t="s">
        <v>33</v>
      </c>
      <c r="B721" s="4">
        <v>45432</v>
      </c>
      <c r="C721" t="s">
        <v>177</v>
      </c>
      <c r="D721">
        <v>50.07</v>
      </c>
      <c r="E721">
        <v>9447.41</v>
      </c>
      <c r="F721" t="s">
        <v>33</v>
      </c>
      <c r="G721">
        <f t="shared" si="40"/>
        <v>50.07</v>
      </c>
      <c r="H721">
        <f>SUMIF($F$2:$F$552,A721,$G$2:$G$552)</f>
        <v>2452.5199999999995</v>
      </c>
      <c r="I721" t="s">
        <v>475</v>
      </c>
    </row>
    <row r="722" spans="1:11" x14ac:dyDescent="0.25">
      <c r="A722" t="s">
        <v>24</v>
      </c>
      <c r="B722" s="4">
        <v>45440</v>
      </c>
      <c r="C722" t="s">
        <v>178</v>
      </c>
      <c r="D722">
        <v>100.09</v>
      </c>
      <c r="E722">
        <v>9547.5</v>
      </c>
      <c r="F722" t="s">
        <v>24</v>
      </c>
      <c r="G722">
        <f t="shared" si="40"/>
        <v>100.09</v>
      </c>
      <c r="H722">
        <f>SUMIF($F$2:$F$552,A722,$G$2:$G$552)</f>
        <v>4003.3300000000022</v>
      </c>
      <c r="I722" t="s">
        <v>475</v>
      </c>
    </row>
    <row r="724" spans="1:11" x14ac:dyDescent="0.25">
      <c r="A724" t="s">
        <v>68</v>
      </c>
      <c r="B724" s="4">
        <v>45450</v>
      </c>
      <c r="C724" t="s">
        <v>179</v>
      </c>
      <c r="D724">
        <v>100.13</v>
      </c>
      <c r="E724">
        <v>9647.6299999999992</v>
      </c>
      <c r="F724" t="s">
        <v>68</v>
      </c>
      <c r="G724">
        <f>VALUE(D724)</f>
        <v>100.13</v>
      </c>
      <c r="H724">
        <f>SUMIF($F$2:$F$552,A724,$G$2:$G$552)</f>
        <v>3804.9400000000028</v>
      </c>
      <c r="I724" t="s">
        <v>475</v>
      </c>
    </row>
    <row r="725" spans="1:11" x14ac:dyDescent="0.25">
      <c r="A725" t="s">
        <v>42</v>
      </c>
      <c r="B725" s="4">
        <v>45453</v>
      </c>
      <c r="C725" t="s">
        <v>180</v>
      </c>
      <c r="D725">
        <v>150</v>
      </c>
      <c r="E725">
        <v>9797.6299999999992</v>
      </c>
      <c r="F725" t="s">
        <v>42</v>
      </c>
      <c r="G725">
        <f>VALUE(D725)</f>
        <v>150</v>
      </c>
      <c r="H725">
        <f>SUMIF($F$2:$F$552,A725,$G$2:$G$552)</f>
        <v>3400.06</v>
      </c>
      <c r="I725" t="s">
        <v>475</v>
      </c>
    </row>
    <row r="726" spans="1:11" x14ac:dyDescent="0.25">
      <c r="A726" t="s">
        <v>73</v>
      </c>
      <c r="B726" s="4">
        <v>45460</v>
      </c>
      <c r="C726" t="s">
        <v>181</v>
      </c>
      <c r="D726">
        <v>100.04</v>
      </c>
      <c r="E726">
        <v>9897.67</v>
      </c>
      <c r="F726" t="s">
        <v>73</v>
      </c>
      <c r="G726">
        <f>VALUE(D726)</f>
        <v>100.04</v>
      </c>
      <c r="H726">
        <f>SUMIF($F$2:$F$552,A726,$G$2:$G$552)</f>
        <v>2400.8399999999997</v>
      </c>
      <c r="I726" t="s">
        <v>475</v>
      </c>
    </row>
    <row r="727" spans="1:11" x14ac:dyDescent="0.25">
      <c r="A727" t="s">
        <v>5</v>
      </c>
      <c r="B727" s="4">
        <v>45460</v>
      </c>
      <c r="C727" t="s">
        <v>65</v>
      </c>
      <c r="D727">
        <v>50.02</v>
      </c>
      <c r="E727">
        <v>9947.69</v>
      </c>
      <c r="F727" t="s">
        <v>5</v>
      </c>
      <c r="G727">
        <f>VALUE(D727)</f>
        <v>50.02</v>
      </c>
      <c r="H727">
        <f>SUMIF($F$2:$F$552,A727,$G$2:$G$552)</f>
        <v>2700.7599999999998</v>
      </c>
      <c r="I727" t="s">
        <v>475</v>
      </c>
    </row>
    <row r="728" spans="1:11" x14ac:dyDescent="0.25">
      <c r="A728" t="s">
        <v>14</v>
      </c>
      <c r="B728" s="4">
        <v>45464</v>
      </c>
      <c r="C728" t="s">
        <v>182</v>
      </c>
      <c r="D728">
        <v>100</v>
      </c>
      <c r="E728">
        <v>10047.69</v>
      </c>
      <c r="F728" t="s">
        <v>14</v>
      </c>
      <c r="G728">
        <f>VALUE(D728)</f>
        <v>100</v>
      </c>
      <c r="H728">
        <f>SUMIF($F$2:$F$552,A728,$G$2:$G$552)</f>
        <v>2821.3799999999992</v>
      </c>
      <c r="I728" t="s">
        <v>475</v>
      </c>
    </row>
    <row r="729" spans="1:11" x14ac:dyDescent="0.25">
      <c r="B729" s="4"/>
    </row>
    <row r="730" spans="1:11" x14ac:dyDescent="0.25">
      <c r="A730" t="s">
        <v>24</v>
      </c>
      <c r="B730" s="4">
        <v>45474</v>
      </c>
      <c r="C730" t="s">
        <v>183</v>
      </c>
      <c r="D730">
        <v>100</v>
      </c>
      <c r="E730">
        <v>10147.69</v>
      </c>
      <c r="F730" t="s">
        <v>24</v>
      </c>
      <c r="G730">
        <f t="shared" ref="G730:G737" si="41">VALUE(D730)</f>
        <v>100</v>
      </c>
      <c r="H730">
        <f>SUMIF($F$2:$F$552,A730,$G$2:$G$552)</f>
        <v>4003.3300000000022</v>
      </c>
      <c r="I730" t="s">
        <v>475</v>
      </c>
    </row>
    <row r="731" spans="1:11" x14ac:dyDescent="0.25">
      <c r="A731" t="s">
        <v>33</v>
      </c>
      <c r="B731" s="4">
        <v>45474</v>
      </c>
      <c r="C731" t="s">
        <v>184</v>
      </c>
      <c r="D731">
        <v>50.07</v>
      </c>
      <c r="E731">
        <v>10197.76</v>
      </c>
      <c r="F731" t="s">
        <v>33</v>
      </c>
      <c r="G731">
        <f t="shared" si="41"/>
        <v>50.07</v>
      </c>
      <c r="H731">
        <f>SUMIF($F$2:$F$552,A731,$G$2:$G$552)</f>
        <v>2452.5199999999995</v>
      </c>
      <c r="I731" t="s">
        <v>475</v>
      </c>
    </row>
    <row r="732" spans="1:11" x14ac:dyDescent="0.25">
      <c r="A732" t="s">
        <v>68</v>
      </c>
      <c r="B732" s="4">
        <v>45478</v>
      </c>
      <c r="C732" t="s">
        <v>185</v>
      </c>
      <c r="D732">
        <v>100.13</v>
      </c>
      <c r="E732">
        <v>10297.89</v>
      </c>
      <c r="F732" t="s">
        <v>68</v>
      </c>
      <c r="G732">
        <f t="shared" si="41"/>
        <v>100.13</v>
      </c>
      <c r="H732">
        <f>SUMIF($F$2:$F$552,A732,$G$2:$G$552)</f>
        <v>3804.9400000000028</v>
      </c>
      <c r="I732" t="s">
        <v>475</v>
      </c>
    </row>
    <row r="733" spans="1:11" x14ac:dyDescent="0.25">
      <c r="A733" t="s">
        <v>33</v>
      </c>
      <c r="B733" s="4">
        <v>45488</v>
      </c>
      <c r="C733" t="s">
        <v>186</v>
      </c>
      <c r="D733">
        <v>100.07</v>
      </c>
      <c r="E733">
        <v>10397.959999999999</v>
      </c>
      <c r="F733" t="s">
        <v>33</v>
      </c>
      <c r="G733">
        <f t="shared" si="41"/>
        <v>100.07</v>
      </c>
      <c r="H733">
        <f>SUMIF($F$2:$F$552,A733,$G$2:$G$552)</f>
        <v>2452.5199999999995</v>
      </c>
      <c r="I733" t="s">
        <v>475</v>
      </c>
    </row>
    <row r="734" spans="1:11" x14ac:dyDescent="0.25">
      <c r="A734" t="s">
        <v>5</v>
      </c>
      <c r="B734" s="4">
        <v>45489</v>
      </c>
      <c r="C734" t="s">
        <v>65</v>
      </c>
      <c r="D734">
        <v>50.02</v>
      </c>
      <c r="E734">
        <v>10447.98</v>
      </c>
      <c r="F734" t="s">
        <v>5</v>
      </c>
      <c r="G734">
        <f t="shared" si="41"/>
        <v>50.02</v>
      </c>
      <c r="H734">
        <f>SUMIF($F$2:$F$552,A734,$G$2:$G$552)</f>
        <v>2700.7599999999998</v>
      </c>
      <c r="I734" t="s">
        <v>475</v>
      </c>
    </row>
    <row r="735" spans="1:11" x14ac:dyDescent="0.25">
      <c r="B735" s="4">
        <v>45489</v>
      </c>
      <c r="C735" t="s">
        <v>187</v>
      </c>
      <c r="D735">
        <v>-3700</v>
      </c>
      <c r="E735">
        <v>6747.98</v>
      </c>
      <c r="H735">
        <f>SUMIF($F$2:$F$552,A735,$G$2:$G$552)</f>
        <v>0</v>
      </c>
      <c r="I735" t="s">
        <v>478</v>
      </c>
      <c r="K735" s="7" t="s">
        <v>68</v>
      </c>
    </row>
    <row r="736" spans="1:11" x14ac:dyDescent="0.25">
      <c r="A736" t="s">
        <v>14</v>
      </c>
      <c r="B736" s="4">
        <v>45498</v>
      </c>
      <c r="C736" t="s">
        <v>188</v>
      </c>
      <c r="D736">
        <v>50</v>
      </c>
      <c r="E736">
        <v>6797.98</v>
      </c>
      <c r="F736" t="s">
        <v>14</v>
      </c>
      <c r="G736">
        <f t="shared" si="41"/>
        <v>50</v>
      </c>
      <c r="H736">
        <f>SUMIF($F$2:$F$552,A736,$G$2:$G$552)</f>
        <v>2821.3799999999992</v>
      </c>
      <c r="I736" t="s">
        <v>475</v>
      </c>
    </row>
    <row r="737" spans="1:11" x14ac:dyDescent="0.25">
      <c r="A737" t="s">
        <v>24</v>
      </c>
      <c r="B737" s="4">
        <v>45502</v>
      </c>
      <c r="C737" t="s">
        <v>189</v>
      </c>
      <c r="D737">
        <v>100</v>
      </c>
      <c r="E737">
        <v>6897.98</v>
      </c>
      <c r="F737" t="s">
        <v>24</v>
      </c>
      <c r="G737">
        <f t="shared" si="41"/>
        <v>100</v>
      </c>
      <c r="H737">
        <f>SUMIF($F$2:$F$552,A737,$G$2:$G$552)</f>
        <v>4003.3300000000022</v>
      </c>
      <c r="I737" t="s">
        <v>475</v>
      </c>
    </row>
    <row r="738" spans="1:11" x14ac:dyDescent="0.25">
      <c r="B738" s="4"/>
    </row>
    <row r="739" spans="1:11" x14ac:dyDescent="0.25">
      <c r="B739" s="4"/>
    </row>
    <row r="740" spans="1:11" x14ac:dyDescent="0.25">
      <c r="B740" s="4">
        <v>45505</v>
      </c>
      <c r="C740" t="s">
        <v>190</v>
      </c>
      <c r="E740">
        <v>6897.98</v>
      </c>
    </row>
    <row r="741" spans="1:11" x14ac:dyDescent="0.25">
      <c r="A741" t="s">
        <v>68</v>
      </c>
      <c r="B741" s="4">
        <v>45512</v>
      </c>
      <c r="C741" t="s">
        <v>191</v>
      </c>
      <c r="D741">
        <v>100.13</v>
      </c>
      <c r="E741">
        <v>6998.11</v>
      </c>
      <c r="F741" t="s">
        <v>68</v>
      </c>
      <c r="G741">
        <f t="shared" ref="G741:G747" si="42">VALUE(D741)</f>
        <v>100.13</v>
      </c>
      <c r="H741">
        <f>SUMIF($F$2:$F$552,A741,$G$2:$G$552)</f>
        <v>3804.9400000000028</v>
      </c>
      <c r="I741" t="s">
        <v>475</v>
      </c>
    </row>
    <row r="742" spans="1:11" x14ac:dyDescent="0.25">
      <c r="A742" t="s">
        <v>42</v>
      </c>
      <c r="B742" s="4">
        <v>45516</v>
      </c>
      <c r="C742" t="s">
        <v>192</v>
      </c>
      <c r="D742">
        <v>150</v>
      </c>
      <c r="E742">
        <v>7148.11</v>
      </c>
      <c r="F742" t="s">
        <v>42</v>
      </c>
      <c r="G742">
        <f t="shared" si="42"/>
        <v>150</v>
      </c>
      <c r="H742">
        <f>SUMIF($F$2:$F$552,A742,$G$2:$G$552)</f>
        <v>3400.06</v>
      </c>
      <c r="I742" t="s">
        <v>475</v>
      </c>
    </row>
    <row r="743" spans="1:11" x14ac:dyDescent="0.25">
      <c r="A743" t="s">
        <v>5</v>
      </c>
      <c r="B743" s="4">
        <v>45520</v>
      </c>
      <c r="C743" t="s">
        <v>65</v>
      </c>
      <c r="D743">
        <v>50.02</v>
      </c>
      <c r="E743">
        <v>7198.13</v>
      </c>
      <c r="F743" t="s">
        <v>5</v>
      </c>
      <c r="G743">
        <f t="shared" si="42"/>
        <v>50.02</v>
      </c>
      <c r="H743">
        <f>SUMIF($F$2:$F$552,A743,$G$2:$G$552)</f>
        <v>2700.7599999999998</v>
      </c>
      <c r="I743" t="s">
        <v>475</v>
      </c>
    </row>
    <row r="744" spans="1:11" x14ac:dyDescent="0.25">
      <c r="B744" s="4">
        <v>45530</v>
      </c>
      <c r="C744" t="s">
        <v>193</v>
      </c>
      <c r="D744">
        <v>317.60000000000002</v>
      </c>
      <c r="E744">
        <v>7515.73</v>
      </c>
      <c r="G744">
        <f t="shared" si="42"/>
        <v>317.60000000000002</v>
      </c>
      <c r="H744">
        <f>SUMIF($F$2:$F$552,A744,$G$2:$G$552)</f>
        <v>0</v>
      </c>
      <c r="I744" t="s">
        <v>476</v>
      </c>
      <c r="K744" s="7" t="s">
        <v>68</v>
      </c>
    </row>
    <row r="745" spans="1:11" x14ac:dyDescent="0.25">
      <c r="A745" t="s">
        <v>33</v>
      </c>
      <c r="B745" s="4">
        <v>45530</v>
      </c>
      <c r="C745" t="s">
        <v>194</v>
      </c>
      <c r="D745">
        <v>50.07</v>
      </c>
      <c r="E745">
        <v>7565.8</v>
      </c>
      <c r="F745" t="s">
        <v>33</v>
      </c>
      <c r="G745">
        <f t="shared" si="42"/>
        <v>50.07</v>
      </c>
      <c r="H745">
        <f>SUMIF($F$2:$F$552,A745,$G$2:$G$552)</f>
        <v>2452.5199999999995</v>
      </c>
      <c r="I745" t="s">
        <v>475</v>
      </c>
    </row>
    <row r="746" spans="1:11" x14ac:dyDescent="0.25">
      <c r="A746" t="s">
        <v>14</v>
      </c>
      <c r="B746" s="4">
        <v>45531</v>
      </c>
      <c r="C746" t="s">
        <v>195</v>
      </c>
      <c r="D746">
        <v>100</v>
      </c>
      <c r="E746">
        <v>7665.8</v>
      </c>
      <c r="F746" t="s">
        <v>14</v>
      </c>
      <c r="G746">
        <f t="shared" si="42"/>
        <v>100</v>
      </c>
      <c r="H746">
        <f>SUMIF($F$2:$F$552,A746,$G$2:$G$552)</f>
        <v>2821.3799999999992</v>
      </c>
      <c r="I746" t="s">
        <v>475</v>
      </c>
    </row>
    <row r="747" spans="1:11" x14ac:dyDescent="0.25">
      <c r="A747" t="s">
        <v>24</v>
      </c>
      <c r="B747" s="4">
        <v>45533</v>
      </c>
      <c r="C747" t="s">
        <v>196</v>
      </c>
      <c r="D747">
        <v>100.09</v>
      </c>
      <c r="E747">
        <v>7765.89</v>
      </c>
      <c r="F747" t="s">
        <v>24</v>
      </c>
      <c r="G747">
        <f t="shared" si="42"/>
        <v>100.09</v>
      </c>
      <c r="H747">
        <f>SUMIF($F$2:$F$552,A747,$G$2:$G$552)</f>
        <v>4003.3300000000022</v>
      </c>
      <c r="I747" t="s">
        <v>475</v>
      </c>
    </row>
    <row r="748" spans="1:11" x14ac:dyDescent="0.25">
      <c r="B748" s="4"/>
    </row>
    <row r="749" spans="1:11" x14ac:dyDescent="0.25">
      <c r="B749" s="4"/>
    </row>
    <row r="750" spans="1:11" x14ac:dyDescent="0.25">
      <c r="B750" s="4"/>
    </row>
    <row r="751" spans="1:11" x14ac:dyDescent="0.25">
      <c r="B7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testimonyalade191@gmail.com</cp:lastModifiedBy>
  <dcterms:created xsi:type="dcterms:W3CDTF">2026-06-11T15:09:34Z</dcterms:created>
  <dcterms:modified xsi:type="dcterms:W3CDTF">2026-06-11T19:46:31Z</dcterms:modified>
</cp:coreProperties>
</file>