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ka\Documents\"/>
    </mc:Choice>
  </mc:AlternateContent>
  <xr:revisionPtr revIDLastSave="0" documentId="13_ncr:1_{8341907F-50F4-462A-8B65-31060C16A59C}" xr6:coauthVersionLast="47" xr6:coauthVersionMax="47" xr10:uidLastSave="{00000000-0000-0000-0000-000000000000}"/>
  <bookViews>
    <workbookView xWindow="-108" yWindow="-108" windowWidth="23256" windowHeight="13896" xr2:uid="{9B861769-C4DA-4A42-B859-CF22DE3E6697}"/>
  </bookViews>
  <sheets>
    <sheet name="Account Statements 2024 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4" i="1"/>
  <c r="F11" i="1"/>
  <c r="F9" i="1"/>
  <c r="F2" i="1"/>
  <c r="B167" i="1"/>
  <c r="B166" i="1"/>
  <c r="B165" i="1"/>
  <c r="B163" i="1"/>
  <c r="B162" i="1"/>
  <c r="B138" i="1"/>
  <c r="B116" i="1"/>
  <c r="B115" i="1"/>
  <c r="B176" i="1" s="1"/>
  <c r="B114" i="1"/>
  <c r="B175" i="1" s="1"/>
  <c r="B113" i="1"/>
  <c r="B174" i="1" s="1"/>
  <c r="B112" i="1"/>
  <c r="B111" i="1"/>
  <c r="B106" i="1"/>
  <c r="B102" i="1"/>
  <c r="B101" i="1"/>
  <c r="B100" i="1"/>
  <c r="B99" i="1"/>
  <c r="B98" i="1"/>
  <c r="B96" i="1"/>
  <c r="B95" i="1"/>
  <c r="B90" i="1"/>
  <c r="B89" i="1"/>
  <c r="B88" i="1"/>
  <c r="B74" i="1"/>
  <c r="B76" i="1" s="1"/>
  <c r="B48" i="1"/>
  <c r="B33" i="1"/>
  <c r="B152" i="1"/>
  <c r="B25" i="1"/>
  <c r="F25" i="1" s="1"/>
  <c r="B24" i="1"/>
  <c r="F24" i="1" s="1"/>
  <c r="B23" i="1"/>
  <c r="F23" i="1" s="1"/>
  <c r="B22" i="1"/>
  <c r="F22" i="1" s="1"/>
  <c r="B21" i="1"/>
  <c r="F21" i="1" s="1"/>
  <c r="B20" i="1"/>
  <c r="F20" i="1" s="1"/>
  <c r="B19" i="1"/>
  <c r="F19" i="1" s="1"/>
  <c r="B18" i="1"/>
  <c r="F18" i="1" s="1"/>
  <c r="B17" i="1"/>
  <c r="B16" i="1"/>
  <c r="B15" i="1"/>
  <c r="F15" i="1" s="1"/>
  <c r="B13" i="1"/>
  <c r="F13" i="1" s="1"/>
  <c r="B12" i="1"/>
  <c r="F12" i="1" s="1"/>
  <c r="B10" i="1"/>
  <c r="F10" i="1" s="1"/>
  <c r="B8" i="1"/>
  <c r="F8" i="1" s="1"/>
  <c r="B7" i="1"/>
  <c r="F7" i="1" s="1"/>
  <c r="B6" i="1"/>
  <c r="F6" i="1" s="1"/>
  <c r="B5" i="1"/>
  <c r="F5" i="1" s="1"/>
  <c r="B4" i="1"/>
  <c r="F4" i="1" s="1"/>
  <c r="B3" i="1"/>
  <c r="F3" i="1" s="1"/>
  <c r="F27" i="1" l="1"/>
  <c r="B27" i="1"/>
  <c r="C14" i="1" s="1"/>
  <c r="D14" i="1" s="1"/>
  <c r="C4" i="1"/>
  <c r="D4" i="1" s="1"/>
  <c r="C19" i="1"/>
  <c r="D19" i="1" s="1"/>
  <c r="C18" i="1"/>
  <c r="D18" i="1" s="1"/>
  <c r="C5" i="1"/>
  <c r="D5" i="1" s="1"/>
  <c r="C20" i="1"/>
  <c r="D20" i="1" s="1"/>
  <c r="C6" i="1"/>
  <c r="D6" i="1" s="1"/>
  <c r="C7" i="1"/>
  <c r="D7" i="1" s="1"/>
  <c r="C24" i="1"/>
  <c r="D24" i="1" s="1"/>
  <c r="C12" i="1"/>
  <c r="D12" i="1" s="1"/>
  <c r="C13" i="1"/>
  <c r="D13" i="1" s="1"/>
  <c r="C10" i="1"/>
  <c r="D10" i="1" s="1"/>
  <c r="C17" i="1"/>
  <c r="D17" i="1" s="1"/>
  <c r="C9" i="1"/>
  <c r="D9" i="1" s="1"/>
  <c r="C21" i="1"/>
  <c r="D21" i="1" s="1"/>
  <c r="C15" i="1"/>
  <c r="D15" i="1" s="1"/>
  <c r="C16" i="1"/>
  <c r="D16" i="1" s="1"/>
  <c r="C22" i="1"/>
  <c r="D22" i="1" s="1"/>
  <c r="C11" i="1"/>
  <c r="D11" i="1" s="1"/>
  <c r="C3" i="1"/>
  <c r="D3" i="1" s="1"/>
  <c r="E27" i="1" s="1"/>
  <c r="C25" i="1"/>
  <c r="D25" i="1" s="1"/>
  <c r="B169" i="1"/>
  <c r="B155" i="1" s="1"/>
  <c r="B118" i="1"/>
  <c r="B151" i="1" s="1"/>
  <c r="B87" i="1"/>
  <c r="B127" i="1"/>
  <c r="B179" i="1"/>
  <c r="B91" i="1"/>
  <c r="B130" i="1" s="1"/>
  <c r="B128" i="1"/>
  <c r="B137" i="1" s="1"/>
  <c r="B83" i="1" a="1"/>
  <c r="B83" i="1" s="1"/>
  <c r="B145" i="1"/>
  <c r="C23" i="1" l="1"/>
  <c r="D23" i="1" s="1"/>
  <c r="C2" i="1"/>
  <c r="D2" i="1" s="1"/>
  <c r="C8" i="1"/>
  <c r="D8" i="1" s="1"/>
  <c r="B131" i="1"/>
  <c r="B147" i="1"/>
  <c r="B132" i="1"/>
  <c r="B107" i="1"/>
  <c r="B141" i="1"/>
  <c r="B153" i="1"/>
  <c r="B156" i="1" s="1"/>
  <c r="B146" i="1" s="1"/>
  <c r="D27" i="1" l="1"/>
  <c r="B148" i="1"/>
  <c r="B133" i="1"/>
  <c r="B1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<sst xmlns="http://schemas.openxmlformats.org/spreadsheetml/2006/main" count="155" uniqueCount="139">
  <si>
    <t>Member Name</t>
  </si>
  <si>
    <t>Total Deposits</t>
  </si>
  <si>
    <t>Registration Income</t>
  </si>
  <si>
    <t>Account Balance</t>
  </si>
  <si>
    <t>Abraham Udom</t>
  </si>
  <si>
    <t>Adedayo Tolani</t>
  </si>
  <si>
    <t>Clement Aribisala</t>
  </si>
  <si>
    <t>Gbanju Aruwayo-Obe</t>
  </si>
  <si>
    <t>Kelvin Amede</t>
  </si>
  <si>
    <t>Lolu Adanri</t>
  </si>
  <si>
    <t>Mutiu Saliu</t>
  </si>
  <si>
    <t>Olugbenga Shofela</t>
  </si>
  <si>
    <t>Oluwabiyi Omotuyole</t>
  </si>
  <si>
    <t>Taiwo Embassey</t>
  </si>
  <si>
    <t>Yinka Daramola</t>
  </si>
  <si>
    <t>Yomi Salami</t>
  </si>
  <si>
    <t>Iyioluwa Olaoye</t>
  </si>
  <si>
    <t>Oladimeji Eboda</t>
  </si>
  <si>
    <t>Akili Tcha Bindi</t>
  </si>
  <si>
    <t>Ejiro Awhotu</t>
  </si>
  <si>
    <t>Noghayin Idele</t>
  </si>
  <si>
    <t>Idris Anaisah</t>
  </si>
  <si>
    <t>Sonia Udom</t>
  </si>
  <si>
    <t>Oluwatosin Ogunbowale</t>
  </si>
  <si>
    <t>Titilope Saliu</t>
  </si>
  <si>
    <t>Oluwatosin Omotuyole</t>
  </si>
  <si>
    <t>Kehinde Agboola</t>
  </si>
  <si>
    <t>Olawale George</t>
  </si>
  <si>
    <t>Total</t>
  </si>
  <si>
    <t>Registration Deduction</t>
  </si>
  <si>
    <t>Deposits By Month</t>
  </si>
  <si>
    <t>January (2023)</t>
  </si>
  <si>
    <t>February (2023)</t>
  </si>
  <si>
    <t>March (2023)</t>
  </si>
  <si>
    <t>April (2023)</t>
  </si>
  <si>
    <t>May (2023)</t>
  </si>
  <si>
    <t>June (2023)</t>
  </si>
  <si>
    <t>July (2023)</t>
  </si>
  <si>
    <t>August (2023)</t>
  </si>
  <si>
    <t>September (2023)</t>
  </si>
  <si>
    <t>October (2023)</t>
  </si>
  <si>
    <t>November (2023)</t>
  </si>
  <si>
    <t>December (2023)</t>
  </si>
  <si>
    <t>Total Deposits carried forward 2023</t>
  </si>
  <si>
    <t>January (2024)</t>
  </si>
  <si>
    <t>February (2024)</t>
  </si>
  <si>
    <t>March (2024)</t>
  </si>
  <si>
    <t>April (2024)</t>
  </si>
  <si>
    <t>May (2024)</t>
  </si>
  <si>
    <t>June (2024)</t>
  </si>
  <si>
    <t>July (2024)</t>
  </si>
  <si>
    <t>August (2024)</t>
  </si>
  <si>
    <t>September (2024)</t>
  </si>
  <si>
    <t>October (2024)</t>
  </si>
  <si>
    <t>November (2024)</t>
  </si>
  <si>
    <t>December (2024)</t>
  </si>
  <si>
    <t>Total Deposits carried forward 2024</t>
  </si>
  <si>
    <t>January (2025)</t>
  </si>
  <si>
    <t>February (2025)</t>
  </si>
  <si>
    <t>March (2025)</t>
  </si>
  <si>
    <t>April (2025)</t>
  </si>
  <si>
    <t>May (2025)</t>
  </si>
  <si>
    <t>June (2025)</t>
  </si>
  <si>
    <t>July (2025)</t>
  </si>
  <si>
    <t>August (2025)</t>
  </si>
  <si>
    <t>September (2025)</t>
  </si>
  <si>
    <t>October (2025)</t>
  </si>
  <si>
    <t>November (2025)</t>
  </si>
  <si>
    <t>December (2025)</t>
  </si>
  <si>
    <t>Month</t>
  </si>
  <si>
    <t>Deposits</t>
  </si>
  <si>
    <t>Statement of Financial Affairs 01/31/2025</t>
  </si>
  <si>
    <t>Bank Charges 2023*</t>
  </si>
  <si>
    <t>Expenses 2023</t>
  </si>
  <si>
    <t>Expenses 2024</t>
  </si>
  <si>
    <t>Expenses 2025</t>
  </si>
  <si>
    <t>Loan to Member 013</t>
  </si>
  <si>
    <t>Loan to Member 005 (8%)</t>
  </si>
  <si>
    <t>Loan to Member 004 (8%)</t>
  </si>
  <si>
    <t>Loan to Member</t>
  </si>
  <si>
    <t>Investment in Caribe Lounge</t>
  </si>
  <si>
    <t>Loan Repayment - Loan 1</t>
  </si>
  <si>
    <t>Loan Repayment - Loan 2</t>
  </si>
  <si>
    <t>Loan Repayment - Loan 3</t>
  </si>
  <si>
    <t>Loan Repayment - Loan 4</t>
  </si>
  <si>
    <t>Loan Repayment - Loan 5</t>
  </si>
  <si>
    <t>Unaccounted For</t>
  </si>
  <si>
    <t>Interest Income on CD Series 1</t>
  </si>
  <si>
    <t>Sonia Udom Cash Out</t>
  </si>
  <si>
    <t>Certificate of Deposit (4.35 APY)</t>
  </si>
  <si>
    <t>Bank Balance</t>
  </si>
  <si>
    <t>Earned Interest Income</t>
  </si>
  <si>
    <t>Interest Income - Member Loan 1</t>
  </si>
  <si>
    <t>Interest Income - Member Loan 2</t>
  </si>
  <si>
    <t>Interest Income - Member Loan 3</t>
  </si>
  <si>
    <t>Interest Income - Member Loan 4</t>
  </si>
  <si>
    <t>Interest Income - Member Loan 5</t>
  </si>
  <si>
    <t>Interest Income - CD</t>
  </si>
  <si>
    <t>Total Interest Income</t>
  </si>
  <si>
    <t>Loans to Members</t>
  </si>
  <si>
    <t>Investments (Caribe Restaurant &amp; Lounge)</t>
  </si>
  <si>
    <t>Operational Expenses</t>
  </si>
  <si>
    <t>Interest Income</t>
  </si>
  <si>
    <t>Cash at Hand</t>
  </si>
  <si>
    <t>Current Bank Balance</t>
  </si>
  <si>
    <t>Balance Sheet</t>
  </si>
  <si>
    <t>Assets</t>
  </si>
  <si>
    <t>Total Assets</t>
  </si>
  <si>
    <t>Liabilities</t>
  </si>
  <si>
    <t>Hosting Renewal 2025</t>
  </si>
  <si>
    <t>Members' Deposits</t>
  </si>
  <si>
    <t>Retained Earnings</t>
  </si>
  <si>
    <t>Total Liabilities and Equity</t>
  </si>
  <si>
    <t>Income Statement</t>
  </si>
  <si>
    <t>Interest Income earned</t>
  </si>
  <si>
    <t>Total Income</t>
  </si>
  <si>
    <t>Operational Expenses*</t>
  </si>
  <si>
    <t>Net Income</t>
  </si>
  <si>
    <t>Expenses 2023* - Domain, Hosting, WP Forms subscription</t>
  </si>
  <si>
    <t>Expenses 2024*- Domain, Hosting Renewal</t>
  </si>
  <si>
    <t>Catering for AGM 2024</t>
  </si>
  <si>
    <t>Utensils AGM 2024</t>
  </si>
  <si>
    <t>Meeting room rental AGM 2024</t>
  </si>
  <si>
    <t>WP Forms Subscription 2024</t>
  </si>
  <si>
    <t>WP Forms Subscription 2025</t>
  </si>
  <si>
    <t>Launch Party Expenses 2025</t>
  </si>
  <si>
    <t>Web Hosting 2025</t>
  </si>
  <si>
    <t>Total Operational Expenses</t>
  </si>
  <si>
    <t>Expected Future Earnings on Outstanding Loans</t>
  </si>
  <si>
    <t>$</t>
  </si>
  <si>
    <t>Unearned Income on loan 1</t>
  </si>
  <si>
    <t>Unearned Income on loan 2</t>
  </si>
  <si>
    <t>Unearned Income on loan 3</t>
  </si>
  <si>
    <t>Unearned Income on loan 4</t>
  </si>
  <si>
    <t>Unearned Income on loan 5</t>
  </si>
  <si>
    <t>Unearned Income on CD</t>
  </si>
  <si>
    <t>Total Unearned Income</t>
  </si>
  <si>
    <t>% of Total</t>
  </si>
  <si>
    <t>Interest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</si>
</sst>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0" fontId="0" fillId="3" borderId="0" xfId="0" applyFill="1"/>
    <xf numFmtId="43" fontId="0" fillId="0" borderId="0" xfId="1" applyFont="1" applyBorder="1"/>
    <xf numFmtId="43" fontId="0" fillId="0" borderId="1" xfId="1" applyFont="1" applyBorder="1"/>
    <xf numFmtId="43" fontId="0" fillId="0" borderId="1" xfId="0" applyNumberFormat="1" applyBorder="1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43" fontId="2" fillId="4" borderId="0" xfId="0" applyNumberFormat="1" applyFont="1" applyFill="1"/>
    <xf numFmtId="43" fontId="0" fillId="4" borderId="0" xfId="0" applyNumberFormat="1" applyFill="1"/>
    <xf numFmtId="43" fontId="2" fillId="0" borderId="0" xfId="1" applyFont="1" applyBorder="1"/>
    <xf numFmtId="0" fontId="3" fillId="2" borderId="0" xfId="0" applyFont="1" applyFill="1"/>
    <xf numFmtId="43" fontId="2" fillId="0" borderId="0" xfId="1" applyFont="1" applyFill="1" applyBorder="1"/>
    <xf numFmtId="0" fontId="2" fillId="0" borderId="0" xfId="0" applyFont="1" applyAlignment="1">
      <alignment horizontal="left"/>
    </xf>
    <xf numFmtId="17" fontId="2" fillId="0" borderId="0" xfId="1" applyNumberFormat="1" applyFont="1" applyAlignment="1">
      <alignment horizontal="center"/>
    </xf>
    <xf numFmtId="43" fontId="0" fillId="0" borderId="0" xfId="1" applyFont="1" applyAlignment="1">
      <alignment horizontal="left"/>
    </xf>
    <xf numFmtId="44" fontId="2" fillId="0" borderId="0" xfId="2" applyFont="1"/>
    <xf numFmtId="0" fontId="2" fillId="5" borderId="0" xfId="0" applyFont="1" applyFill="1"/>
    <xf numFmtId="44" fontId="0" fillId="0" borderId="0" xfId="2" applyFont="1"/>
    <xf numFmtId="44" fontId="0" fillId="6" borderId="0" xfId="2" applyFont="1" applyFill="1"/>
    <xf numFmtId="44" fontId="0" fillId="0" borderId="1" xfId="2" applyFont="1" applyBorder="1"/>
    <xf numFmtId="8" fontId="1" fillId="0" borderId="0" xfId="2" applyNumberFormat="1" applyFont="1"/>
    <xf numFmtId="8" fontId="1" fillId="0" borderId="0" xfId="2" applyNumberFormat="1" applyFont="1" applyBorder="1"/>
    <xf numFmtId="44" fontId="1" fillId="0" borderId="1" xfId="2" applyFont="1" applyBorder="1"/>
    <xf numFmtId="44" fontId="0" fillId="0" borderId="0" xfId="0" applyNumberFormat="1"/>
    <xf numFmtId="44" fontId="2" fillId="0" borderId="1" xfId="2" applyFont="1" applyBorder="1"/>
    <xf numFmtId="44" fontId="0" fillId="0" borderId="0" xfId="1" applyNumberFormat="1" applyFont="1"/>
    <xf numFmtId="44" fontId="0" fillId="0" borderId="1" xfId="1" applyNumberFormat="1" applyFont="1" applyBorder="1"/>
    <xf numFmtId="8" fontId="0" fillId="0" borderId="0" xfId="2" applyNumberFormat="1" applyFont="1"/>
    <xf numFmtId="10" fontId="0" fillId="0" borderId="0" xfId="3" applyNumberFormat="1" applyFont="1"/>
    <xf numFmtId="44" fontId="0" fillId="0" borderId="0" xfId="2" applyFont="1" applyAlignment="1">
      <alignment horizontal="center"/>
    </xf>
    <xf numFmtId="44" fontId="2" fillId="0" borderId="0" xfId="2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inka\Documents\UiPath\Deposits%20Processor\AllStatements%20(version%201)%20(version%201).xlsx" TargetMode="External"/><Relationship Id="rId1" Type="http://schemas.openxmlformats.org/officeDocument/2006/relationships/externalLinkPath" Target="UiPath/Deposits%20Processor/AllStatements%20(version%201)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uary 2026"/>
      <sheetName val="November 2025"/>
      <sheetName val="October 2025"/>
      <sheetName val="Contributors Behind"/>
      <sheetName val="Dec 2024"/>
      <sheetName val="Nov 2024"/>
      <sheetName val="Oct 2024"/>
      <sheetName val="Sept 2024 (2)"/>
      <sheetName val="Sept 2024"/>
      <sheetName val="August 2024"/>
      <sheetName val="July 2024 (2)"/>
      <sheetName val="2024 Deposits"/>
      <sheetName val="June 2024 (2)"/>
      <sheetName val="Loan Details"/>
      <sheetName val="Sheet1 (2)"/>
      <sheetName val="Saheed"/>
      <sheetName val="Account Statements 2024 F"/>
      <sheetName val="Jan 2025"/>
      <sheetName val="Feb 2025"/>
      <sheetName val="March 2025"/>
      <sheetName val="April 2025"/>
      <sheetName val="May 2025"/>
      <sheetName val="June 2025"/>
      <sheetName val="July 2025"/>
      <sheetName val="September 2025"/>
      <sheetName val="August 2025"/>
      <sheetName val="Sheet7"/>
      <sheetName val="Oluwabiyi"/>
      <sheetName val="Unencumbered Guarantors 8.2025"/>
      <sheetName val="Loan Repayments"/>
      <sheetName val="Summary2024"/>
      <sheetName val="Account Statements 2024"/>
      <sheetName val="Status Report 2024"/>
      <sheetName val="Account Statements 2024 (3)"/>
      <sheetName val="Account Statements 2024 (2)"/>
      <sheetName val="Account Statements (4)"/>
      <sheetName val="Account Statements (3)"/>
      <sheetName val="Sheet4"/>
      <sheetName val="Deposits Summary"/>
      <sheetName val="Deposits Chart"/>
      <sheetName val="Account Statements (2)"/>
      <sheetName val="Account Statements"/>
      <sheetName val="CallList"/>
      <sheetName val="Sheet2 (4)"/>
      <sheetName val="Sheet2 (3)"/>
      <sheetName val="Sheet2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I8">
            <v>8.6</v>
          </cell>
        </row>
        <row r="9">
          <cell r="I9">
            <v>7.18</v>
          </cell>
        </row>
        <row r="10">
          <cell r="I10">
            <v>5.76</v>
          </cell>
        </row>
        <row r="11">
          <cell r="I11">
            <v>4.33</v>
          </cell>
        </row>
        <row r="28">
          <cell r="J28">
            <v>33.549999999999997</v>
          </cell>
        </row>
        <row r="29">
          <cell r="J29">
            <v>30.3</v>
          </cell>
        </row>
        <row r="30">
          <cell r="J30">
            <v>27.02</v>
          </cell>
        </row>
        <row r="31">
          <cell r="J31">
            <v>23.72</v>
          </cell>
        </row>
        <row r="32">
          <cell r="J32">
            <v>20.399999999999999</v>
          </cell>
        </row>
        <row r="33">
          <cell r="J33">
            <v>17.059999999999999</v>
          </cell>
        </row>
        <row r="34">
          <cell r="J34">
            <v>13.69</v>
          </cell>
        </row>
        <row r="35">
          <cell r="J35">
            <v>10.3</v>
          </cell>
        </row>
        <row r="36">
          <cell r="J36">
            <v>6.89</v>
          </cell>
        </row>
        <row r="37">
          <cell r="J37">
            <v>3.46</v>
          </cell>
        </row>
        <row r="45">
          <cell r="J45">
            <v>33.33</v>
          </cell>
        </row>
        <row r="46">
          <cell r="J46">
            <v>30.66</v>
          </cell>
        </row>
        <row r="47">
          <cell r="J47">
            <v>27.96</v>
          </cell>
        </row>
        <row r="48">
          <cell r="J48">
            <v>25.25</v>
          </cell>
        </row>
        <row r="49">
          <cell r="J49">
            <v>22.52</v>
          </cell>
        </row>
        <row r="50">
          <cell r="J50">
            <v>19.77</v>
          </cell>
        </row>
        <row r="51">
          <cell r="J51">
            <v>17</v>
          </cell>
        </row>
        <row r="52">
          <cell r="J52">
            <v>14.21</v>
          </cell>
        </row>
        <row r="53">
          <cell r="J53">
            <v>11.41</v>
          </cell>
        </row>
        <row r="57">
          <cell r="J57">
            <v>219.31000000000003</v>
          </cell>
        </row>
        <row r="62">
          <cell r="J62">
            <v>50</v>
          </cell>
        </row>
        <row r="63">
          <cell r="J63">
            <v>47.38</v>
          </cell>
        </row>
        <row r="64">
          <cell r="J64">
            <v>44.74</v>
          </cell>
        </row>
        <row r="65">
          <cell r="J65">
            <v>42.08</v>
          </cell>
        </row>
        <row r="81">
          <cell r="J81">
            <v>433.95</v>
          </cell>
        </row>
        <row r="86">
          <cell r="J86">
            <v>13.33</v>
          </cell>
        </row>
        <row r="87">
          <cell r="J87">
            <v>12.26</v>
          </cell>
        </row>
        <row r="98">
          <cell r="J98">
            <v>74.39</v>
          </cell>
        </row>
      </sheetData>
      <sheetData sheetId="14">
        <row r="51">
          <cell r="H51">
            <v>2252.4499999999994</v>
          </cell>
        </row>
        <row r="52">
          <cell r="H52">
            <v>2521.1399999999994</v>
          </cell>
        </row>
        <row r="53">
          <cell r="H53">
            <v>2500.7199999999998</v>
          </cell>
        </row>
        <row r="66">
          <cell r="H66">
            <v>2200.7599999999998</v>
          </cell>
        </row>
        <row r="155">
          <cell r="D155">
            <v>317.60000000000002</v>
          </cell>
        </row>
        <row r="164">
          <cell r="G164">
            <v>317.60000000000002</v>
          </cell>
        </row>
        <row r="173">
          <cell r="G173">
            <v>317.60000000000002</v>
          </cell>
        </row>
        <row r="181">
          <cell r="G181">
            <v>317.60000000000002</v>
          </cell>
        </row>
        <row r="189">
          <cell r="G189">
            <v>600</v>
          </cell>
        </row>
        <row r="195">
          <cell r="G195">
            <v>317.60000000000002</v>
          </cell>
        </row>
        <row r="199">
          <cell r="D199">
            <v>-220</v>
          </cell>
        </row>
        <row r="200">
          <cell r="D200">
            <v>-30.54</v>
          </cell>
        </row>
        <row r="201">
          <cell r="D201">
            <v>-99.5</v>
          </cell>
        </row>
        <row r="206">
          <cell r="H206">
            <v>2717.5000000000005</v>
          </cell>
        </row>
        <row r="207">
          <cell r="D207">
            <v>-24</v>
          </cell>
        </row>
        <row r="209">
          <cell r="D209">
            <v>560</v>
          </cell>
        </row>
        <row r="210">
          <cell r="H210">
            <v>802.20999999999992</v>
          </cell>
        </row>
        <row r="213">
          <cell r="D213">
            <v>317.60000000000002</v>
          </cell>
        </row>
        <row r="216">
          <cell r="H216">
            <v>590</v>
          </cell>
        </row>
        <row r="223">
          <cell r="D223">
            <v>-155.88</v>
          </cell>
        </row>
        <row r="224">
          <cell r="D224">
            <v>600</v>
          </cell>
        </row>
        <row r="229">
          <cell r="D229">
            <v>317.60000000000002</v>
          </cell>
        </row>
        <row r="231">
          <cell r="H231">
            <v>650</v>
          </cell>
        </row>
        <row r="240">
          <cell r="G240">
            <v>600</v>
          </cell>
        </row>
        <row r="242">
          <cell r="H242">
            <v>800</v>
          </cell>
        </row>
        <row r="247">
          <cell r="D247">
            <v>-300</v>
          </cell>
        </row>
        <row r="248">
          <cell r="D248">
            <v>-100</v>
          </cell>
        </row>
        <row r="249">
          <cell r="D249">
            <v>450</v>
          </cell>
        </row>
        <row r="250">
          <cell r="G250">
            <v>317.60000000000002</v>
          </cell>
        </row>
        <row r="252">
          <cell r="H252">
            <v>600</v>
          </cell>
        </row>
        <row r="254">
          <cell r="D254">
            <v>-20</v>
          </cell>
        </row>
        <row r="255">
          <cell r="D255">
            <v>-120</v>
          </cell>
        </row>
        <row r="258">
          <cell r="D258">
            <v>-109.33</v>
          </cell>
        </row>
        <row r="264">
          <cell r="G264">
            <v>600</v>
          </cell>
        </row>
        <row r="273">
          <cell r="G273">
            <v>317.60000000000002</v>
          </cell>
        </row>
        <row r="275">
          <cell r="G275">
            <v>400</v>
          </cell>
        </row>
        <row r="282">
          <cell r="G282">
            <v>600</v>
          </cell>
        </row>
        <row r="287">
          <cell r="G287">
            <v>317.60000000000002</v>
          </cell>
        </row>
        <row r="293">
          <cell r="G293">
            <v>450</v>
          </cell>
        </row>
        <row r="296">
          <cell r="G296">
            <v>600</v>
          </cell>
        </row>
        <row r="305">
          <cell r="G305">
            <v>317.60000000000002</v>
          </cell>
        </row>
        <row r="306">
          <cell r="G306">
            <v>450</v>
          </cell>
        </row>
        <row r="307">
          <cell r="G307">
            <v>600</v>
          </cell>
        </row>
        <row r="321">
          <cell r="D321">
            <v>317.60000000000002</v>
          </cell>
        </row>
        <row r="324">
          <cell r="D324">
            <v>-7000</v>
          </cell>
        </row>
        <row r="325">
          <cell r="D325">
            <v>-7500</v>
          </cell>
        </row>
        <row r="328">
          <cell r="D328">
            <v>-2200</v>
          </cell>
        </row>
        <row r="333">
          <cell r="D333">
            <v>410</v>
          </cell>
        </row>
        <row r="334">
          <cell r="D334">
            <v>600</v>
          </cell>
        </row>
        <row r="336">
          <cell r="D336">
            <v>443.55</v>
          </cell>
        </row>
        <row r="339">
          <cell r="G339">
            <v>200</v>
          </cell>
        </row>
        <row r="340">
          <cell r="D340">
            <v>174</v>
          </cell>
        </row>
        <row r="347">
          <cell r="D347">
            <v>434.94</v>
          </cell>
        </row>
        <row r="349">
          <cell r="H349">
            <v>800</v>
          </cell>
        </row>
        <row r="353">
          <cell r="D353">
            <v>-99.5</v>
          </cell>
        </row>
        <row r="354">
          <cell r="D354">
            <v>500</v>
          </cell>
        </row>
        <row r="357">
          <cell r="D357">
            <v>443.55</v>
          </cell>
        </row>
        <row r="362">
          <cell r="H362">
            <v>150</v>
          </cell>
        </row>
        <row r="365">
          <cell r="D365">
            <v>434.34</v>
          </cell>
        </row>
        <row r="366">
          <cell r="D366">
            <v>200</v>
          </cell>
        </row>
        <row r="367">
          <cell r="H367">
            <v>650</v>
          </cell>
        </row>
        <row r="375">
          <cell r="D375">
            <v>443.55</v>
          </cell>
        </row>
        <row r="385">
          <cell r="D385">
            <v>434.34</v>
          </cell>
        </row>
        <row r="395">
          <cell r="G395">
            <v>443.55</v>
          </cell>
        </row>
        <row r="403">
          <cell r="G403">
            <v>434.34</v>
          </cell>
        </row>
        <row r="413">
          <cell r="G413">
            <v>443.55</v>
          </cell>
        </row>
        <row r="416">
          <cell r="G416">
            <v>443.34</v>
          </cell>
        </row>
        <row r="546">
          <cell r="D546" t="str">
            <v>100</v>
          </cell>
        </row>
        <row r="547">
          <cell r="D547" t="str">
            <v>2100.24</v>
          </cell>
        </row>
        <row r="555">
          <cell r="D555" t="str">
            <v>0</v>
          </cell>
        </row>
        <row r="570">
          <cell r="H570">
            <v>3400.06</v>
          </cell>
        </row>
        <row r="574">
          <cell r="H574">
            <v>4900.2000000000007</v>
          </cell>
        </row>
        <row r="585">
          <cell r="D585" t="str">
            <v>1000.05</v>
          </cell>
        </row>
        <row r="591">
          <cell r="H591">
            <v>2500.7199999999998</v>
          </cell>
        </row>
        <row r="594">
          <cell r="D594">
            <v>200.04</v>
          </cell>
        </row>
      </sheetData>
      <sheetData sheetId="15">
        <row r="24">
          <cell r="C24">
            <v>403.18000000000029</v>
          </cell>
        </row>
        <row r="25">
          <cell r="C25">
            <v>196.81999999999971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3">
          <cell r="B13">
            <v>4200.2000000000007</v>
          </cell>
        </row>
      </sheetData>
      <sheetData sheetId="4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FC2-7B0F-4CE9-A911-6D52FFE7C4B5}">
  <dimension ref="A1:F179"/>
  <sheetViews>
    <sheetView tabSelected="1" zoomScale="128" workbookViewId="0">
      <pane xSplit="1" topLeftCell="B1" activePane="topRight" state="frozen"/>
      <selection pane="topRight" activeCell="E3" sqref="E3"/>
    </sheetView>
  </sheetViews>
  <sheetFormatPr defaultRowHeight="14.4" x14ac:dyDescent="0.3"/>
  <cols>
    <col min="1" max="1" width="51.21875" bestFit="1" customWidth="1"/>
    <col min="2" max="2" width="14.6640625" style="4" bestFit="1" customWidth="1"/>
    <col min="4" max="4" width="13.88671875" style="23" bestFit="1" customWidth="1"/>
    <col min="5" max="5" width="10.33203125" bestFit="1" customWidth="1"/>
    <col min="6" max="6" width="10.44140625" style="23" bestFit="1" customWidth="1"/>
  </cols>
  <sheetData>
    <row r="1" spans="1:6" s="3" customFormat="1" x14ac:dyDescent="0.3">
      <c r="A1" s="1" t="s">
        <v>0</v>
      </c>
      <c r="B1" s="2" t="s">
        <v>1</v>
      </c>
      <c r="C1" s="1" t="s">
        <v>137</v>
      </c>
      <c r="D1" s="36" t="s">
        <v>138</v>
      </c>
      <c r="F1" s="35"/>
    </row>
    <row r="2" spans="1:6" x14ac:dyDescent="0.3">
      <c r="A2" t="s">
        <v>4</v>
      </c>
      <c r="B2" s="4">
        <v>900.28</v>
      </c>
      <c r="C2" s="34">
        <f>B2/$B$27</f>
        <v>2.606391663993533E-2</v>
      </c>
      <c r="D2" s="23">
        <f>C2*$E$2</f>
        <v>32.649225818181392</v>
      </c>
      <c r="E2" s="29">
        <v>1252.6600000000001</v>
      </c>
      <c r="F2" s="23">
        <f>3%*B2</f>
        <v>27.008399999999998</v>
      </c>
    </row>
    <row r="3" spans="1:6" x14ac:dyDescent="0.3">
      <c r="A3" s="6" t="s">
        <v>5</v>
      </c>
      <c r="B3" s="4">
        <f>'[1]Sheet1 (2)'!H520</f>
        <v>0</v>
      </c>
      <c r="C3" s="34">
        <f t="shared" ref="C3:C25" si="0">B3/$B$27</f>
        <v>0</v>
      </c>
      <c r="D3" s="23">
        <f t="shared" ref="D3:D25" si="1">C3*$E$2</f>
        <v>0</v>
      </c>
      <c r="E3" s="34"/>
      <c r="F3" s="23">
        <f t="shared" ref="F3:F25" si="2">3%*B3</f>
        <v>0</v>
      </c>
    </row>
    <row r="4" spans="1:6" x14ac:dyDescent="0.3">
      <c r="A4" s="6" t="s">
        <v>6</v>
      </c>
      <c r="B4" s="4">
        <f>'[1]Sheet1 (2)'!H53</f>
        <v>2500.7199999999998</v>
      </c>
      <c r="C4" s="34">
        <f t="shared" si="0"/>
        <v>7.2398095725573236E-2</v>
      </c>
      <c r="D4" s="23">
        <f t="shared" si="1"/>
        <v>90.69019859159657</v>
      </c>
      <c r="E4" s="34"/>
      <c r="F4" s="23">
        <f t="shared" si="2"/>
        <v>75.021599999999992</v>
      </c>
    </row>
    <row r="5" spans="1:6" x14ac:dyDescent="0.3">
      <c r="A5" s="6" t="s">
        <v>7</v>
      </c>
      <c r="B5" s="4">
        <f>'[1]Sheet1 (2)'!H52</f>
        <v>2521.1399999999994</v>
      </c>
      <c r="C5" s="34">
        <f t="shared" si="0"/>
        <v>7.2989273112372313E-2</v>
      </c>
      <c r="D5" s="23">
        <f t="shared" si="1"/>
        <v>91.430742856944306</v>
      </c>
      <c r="E5" s="34"/>
      <c r="F5" s="23">
        <f t="shared" si="2"/>
        <v>75.634199999999979</v>
      </c>
    </row>
    <row r="6" spans="1:6" x14ac:dyDescent="0.3">
      <c r="A6" s="6" t="s">
        <v>8</v>
      </c>
      <c r="B6" s="4">
        <f>'[1]Sheet1 (2)'!H574</f>
        <v>4900.2000000000007</v>
      </c>
      <c r="C6" s="34">
        <f t="shared" si="0"/>
        <v>0.14186520229152166</v>
      </c>
      <c r="D6" s="23">
        <f t="shared" si="1"/>
        <v>177.70886430249755</v>
      </c>
      <c r="E6" s="34"/>
      <c r="F6" s="23">
        <f t="shared" si="2"/>
        <v>147.00600000000003</v>
      </c>
    </row>
    <row r="7" spans="1:6" x14ac:dyDescent="0.3">
      <c r="A7" t="s">
        <v>9</v>
      </c>
      <c r="B7" s="4">
        <f>'[1]Sheet1 (2)'!H570</f>
        <v>3400.06</v>
      </c>
      <c r="C7" s="34">
        <f t="shared" si="0"/>
        <v>9.8434798519103528E-2</v>
      </c>
      <c r="D7" s="23">
        <f t="shared" si="1"/>
        <v>123.30533471294024</v>
      </c>
      <c r="E7" s="34"/>
      <c r="F7" s="23">
        <f t="shared" si="2"/>
        <v>102.00179999999999</v>
      </c>
    </row>
    <row r="8" spans="1:6" x14ac:dyDescent="0.3">
      <c r="A8" t="s">
        <v>10</v>
      </c>
      <c r="B8" s="4">
        <f>'[1]Sheet1 (2)'!H66</f>
        <v>2200.7599999999998</v>
      </c>
      <c r="C8" s="34">
        <f t="shared" si="0"/>
        <v>6.3713983632318921E-2</v>
      </c>
      <c r="D8" s="23">
        <f t="shared" si="1"/>
        <v>79.811958736860632</v>
      </c>
      <c r="E8" s="34"/>
      <c r="F8" s="23">
        <f t="shared" si="2"/>
        <v>66.022799999999989</v>
      </c>
    </row>
    <row r="9" spans="1:6" x14ac:dyDescent="0.3">
      <c r="A9" t="s">
        <v>11</v>
      </c>
      <c r="B9" s="4">
        <v>200</v>
      </c>
      <c r="C9" s="34">
        <f t="shared" si="0"/>
        <v>5.7901800861810395E-3</v>
      </c>
      <c r="D9" s="23">
        <f t="shared" si="1"/>
        <v>7.2531269867555412</v>
      </c>
      <c r="E9" s="34"/>
      <c r="F9" s="23">
        <f t="shared" si="2"/>
        <v>6</v>
      </c>
    </row>
    <row r="10" spans="1:6" x14ac:dyDescent="0.3">
      <c r="A10" s="6" t="s">
        <v>12</v>
      </c>
      <c r="B10" s="4">
        <f>'[1]Sheet1 (2)'!H521</f>
        <v>0</v>
      </c>
      <c r="C10" s="34">
        <f t="shared" si="0"/>
        <v>0</v>
      </c>
      <c r="D10" s="23">
        <f t="shared" si="1"/>
        <v>0</v>
      </c>
      <c r="E10" s="34"/>
      <c r="F10" s="23">
        <f t="shared" si="2"/>
        <v>0</v>
      </c>
    </row>
    <row r="11" spans="1:6" x14ac:dyDescent="0.3">
      <c r="A11" t="s">
        <v>13</v>
      </c>
      <c r="B11" s="4">
        <v>508</v>
      </c>
      <c r="C11" s="34">
        <f t="shared" si="0"/>
        <v>1.4707057418899841E-2</v>
      </c>
      <c r="D11" s="23">
        <f t="shared" si="1"/>
        <v>18.422942546359074</v>
      </c>
      <c r="E11" s="34"/>
      <c r="F11" s="23">
        <f t="shared" si="2"/>
        <v>15.24</v>
      </c>
    </row>
    <row r="12" spans="1:6" x14ac:dyDescent="0.3">
      <c r="A12" s="6" t="s">
        <v>14</v>
      </c>
      <c r="B12" s="4">
        <f>'[1]Sheet1 (2)'!H51</f>
        <v>2252.4499999999994</v>
      </c>
      <c r="C12" s="34">
        <f t="shared" si="0"/>
        <v>6.5210455675592388E-2</v>
      </c>
      <c r="D12" s="23">
        <f t="shared" si="1"/>
        <v>81.686529406587567</v>
      </c>
      <c r="E12" s="34"/>
      <c r="F12" s="23">
        <f t="shared" si="2"/>
        <v>67.573499999999981</v>
      </c>
    </row>
    <row r="13" spans="1:6" x14ac:dyDescent="0.3">
      <c r="A13" s="6" t="s">
        <v>15</v>
      </c>
      <c r="B13" s="4">
        <f>[1]Sheet2!B13+[1]Saheed!C25</f>
        <v>4397.0200000000004</v>
      </c>
      <c r="C13" s="34">
        <f t="shared" si="0"/>
        <v>0.1272976882126988</v>
      </c>
      <c r="D13" s="23">
        <f t="shared" si="1"/>
        <v>159.46072211651929</v>
      </c>
      <c r="F13" s="23">
        <f t="shared" si="2"/>
        <v>131.91060000000002</v>
      </c>
    </row>
    <row r="14" spans="1:6" x14ac:dyDescent="0.3">
      <c r="A14" t="s">
        <v>16</v>
      </c>
      <c r="B14" s="4">
        <v>500.18</v>
      </c>
      <c r="C14" s="34">
        <f t="shared" si="0"/>
        <v>1.4480661377530162E-2</v>
      </c>
      <c r="D14" s="23">
        <f t="shared" si="1"/>
        <v>18.139345281176933</v>
      </c>
      <c r="F14" s="23">
        <f t="shared" si="2"/>
        <v>15.0054</v>
      </c>
    </row>
    <row r="15" spans="1:6" x14ac:dyDescent="0.3">
      <c r="A15" t="s">
        <v>17</v>
      </c>
      <c r="B15" s="4">
        <f>'[1]Sheet1 (2)'!G527</f>
        <v>0</v>
      </c>
      <c r="C15" s="34">
        <f t="shared" si="0"/>
        <v>0</v>
      </c>
      <c r="D15" s="23">
        <f t="shared" si="1"/>
        <v>0</v>
      </c>
      <c r="F15" s="23">
        <f t="shared" si="2"/>
        <v>0</v>
      </c>
    </row>
    <row r="16" spans="1:6" x14ac:dyDescent="0.3">
      <c r="A16" t="s">
        <v>18</v>
      </c>
      <c r="B16" s="7">
        <f>'[1]Sheet1 (2)'!H591</f>
        <v>2500.7199999999998</v>
      </c>
      <c r="C16" s="34">
        <f t="shared" si="0"/>
        <v>7.2398095725573236E-2</v>
      </c>
      <c r="D16" s="23">
        <f t="shared" si="1"/>
        <v>90.69019859159657</v>
      </c>
      <c r="F16" s="23">
        <f t="shared" si="2"/>
        <v>75.021599999999992</v>
      </c>
    </row>
    <row r="17" spans="1:6" x14ac:dyDescent="0.3">
      <c r="A17" t="s">
        <v>19</v>
      </c>
      <c r="B17" s="4">
        <f>'[1]Sheet1 (2)'!H206</f>
        <v>2717.5000000000005</v>
      </c>
      <c r="C17" s="34">
        <f t="shared" si="0"/>
        <v>7.8674071920984884E-2</v>
      </c>
      <c r="D17" s="23">
        <f t="shared" si="1"/>
        <v>98.551862932540928</v>
      </c>
      <c r="F17" s="23">
        <f t="shared" si="2"/>
        <v>81.525000000000006</v>
      </c>
    </row>
    <row r="18" spans="1:6" x14ac:dyDescent="0.3">
      <c r="A18" t="s">
        <v>20</v>
      </c>
      <c r="B18" s="4">
        <f>'[1]Sheet1 (2)'!H210</f>
        <v>802.20999999999992</v>
      </c>
      <c r="C18" s="34">
        <f t="shared" si="0"/>
        <v>2.3224701834676457E-2</v>
      </c>
      <c r="D18" s="23">
        <f t="shared" si="1"/>
        <v>29.092655000225811</v>
      </c>
      <c r="F18" s="23">
        <f t="shared" si="2"/>
        <v>24.066299999999998</v>
      </c>
    </row>
    <row r="19" spans="1:6" x14ac:dyDescent="0.3">
      <c r="A19" t="s">
        <v>21</v>
      </c>
      <c r="B19" s="4">
        <f>'[1]Sheet1 (2)'!H231</f>
        <v>650</v>
      </c>
      <c r="C19" s="34">
        <f t="shared" si="0"/>
        <v>1.8818085280088378E-2</v>
      </c>
      <c r="D19" s="23">
        <f t="shared" si="1"/>
        <v>23.572662706955509</v>
      </c>
      <c r="F19" s="23">
        <f t="shared" si="2"/>
        <v>19.5</v>
      </c>
    </row>
    <row r="20" spans="1:6" x14ac:dyDescent="0.3">
      <c r="A20" t="s">
        <v>22</v>
      </c>
      <c r="B20" s="4">
        <f>'[1]Sheet1 (2)'!H216</f>
        <v>590</v>
      </c>
      <c r="C20" s="34">
        <f t="shared" si="0"/>
        <v>1.7081031254234068E-2</v>
      </c>
      <c r="D20" s="23">
        <f t="shared" si="1"/>
        <v>21.39672461092885</v>
      </c>
      <c r="F20" s="23">
        <f t="shared" si="2"/>
        <v>17.7</v>
      </c>
    </row>
    <row r="21" spans="1:6" x14ac:dyDescent="0.3">
      <c r="A21" t="s">
        <v>23</v>
      </c>
      <c r="B21" s="4">
        <f>'[1]Sheet1 (2)'!H242</f>
        <v>800</v>
      </c>
      <c r="C21" s="34">
        <f t="shared" si="0"/>
        <v>2.3160720344724158E-2</v>
      </c>
      <c r="D21" s="23">
        <f t="shared" si="1"/>
        <v>29.012507947022165</v>
      </c>
      <c r="F21" s="23">
        <f t="shared" si="2"/>
        <v>24</v>
      </c>
    </row>
    <row r="22" spans="1:6" x14ac:dyDescent="0.3">
      <c r="A22" t="s">
        <v>24</v>
      </c>
      <c r="B22" s="4">
        <f>'[1]Sheet1 (2)'!H252</f>
        <v>600</v>
      </c>
      <c r="C22" s="34">
        <f t="shared" si="0"/>
        <v>1.7370540258543118E-2</v>
      </c>
      <c r="D22" s="23">
        <f t="shared" si="1"/>
        <v>21.759380960266622</v>
      </c>
      <c r="F22" s="23">
        <f t="shared" si="2"/>
        <v>18</v>
      </c>
    </row>
    <row r="23" spans="1:6" x14ac:dyDescent="0.3">
      <c r="A23" t="s">
        <v>25</v>
      </c>
      <c r="B23" s="7">
        <f>'[1]Sheet1 (2)'!H349</f>
        <v>800</v>
      </c>
      <c r="C23" s="34">
        <f t="shared" si="0"/>
        <v>2.3160720344724158E-2</v>
      </c>
      <c r="D23" s="23">
        <f t="shared" si="1"/>
        <v>29.012507947022165</v>
      </c>
      <c r="F23" s="23">
        <f t="shared" si="2"/>
        <v>24</v>
      </c>
    </row>
    <row r="24" spans="1:6" x14ac:dyDescent="0.3">
      <c r="A24" t="s">
        <v>26</v>
      </c>
      <c r="B24" s="7">
        <f>'[1]Sheet1 (2)'!H362</f>
        <v>150</v>
      </c>
      <c r="C24" s="34">
        <f t="shared" si="0"/>
        <v>4.3426350646357794E-3</v>
      </c>
      <c r="D24" s="23">
        <f t="shared" si="1"/>
        <v>5.4398452400666555</v>
      </c>
      <c r="F24" s="23">
        <f t="shared" si="2"/>
        <v>4.5</v>
      </c>
    </row>
    <row r="25" spans="1:6" x14ac:dyDescent="0.3">
      <c r="A25" t="s">
        <v>27</v>
      </c>
      <c r="B25" s="7">
        <f>'[1]Sheet1 (2)'!H367</f>
        <v>650</v>
      </c>
      <c r="C25" s="34">
        <f t="shared" si="0"/>
        <v>1.8818085280088378E-2</v>
      </c>
      <c r="D25" s="23">
        <f t="shared" si="1"/>
        <v>23.572662706955509</v>
      </c>
      <c r="F25" s="23">
        <f t="shared" si="2"/>
        <v>19.5</v>
      </c>
    </row>
    <row r="26" spans="1:6" x14ac:dyDescent="0.3">
      <c r="B26" s="8"/>
    </row>
    <row r="27" spans="1:6" x14ac:dyDescent="0.3">
      <c r="A27" s="10" t="s">
        <v>28</v>
      </c>
      <c r="B27" s="11">
        <f>SUM(B2:B26)</f>
        <v>34541.240000000005</v>
      </c>
      <c r="D27" s="21">
        <f t="shared" ref="D27:F27" si="3">SUM(D2:D26)</f>
        <v>1252.6599999999999</v>
      </c>
      <c r="E27" s="11">
        <f t="shared" si="3"/>
        <v>1252.6600000000001</v>
      </c>
      <c r="F27" s="21">
        <f t="shared" si="3"/>
        <v>1036.2372</v>
      </c>
    </row>
    <row r="29" spans="1:6" x14ac:dyDescent="0.3">
      <c r="B29"/>
    </row>
    <row r="30" spans="1:6" x14ac:dyDescent="0.3">
      <c r="A30" s="10" t="s">
        <v>0</v>
      </c>
      <c r="B30" s="10" t="s">
        <v>4</v>
      </c>
    </row>
    <row r="31" spans="1:6" x14ac:dyDescent="0.3">
      <c r="A31" s="5" t="s">
        <v>1</v>
      </c>
      <c r="B31" s="12">
        <v>900.28</v>
      </c>
    </row>
    <row r="32" spans="1:6" x14ac:dyDescent="0.3">
      <c r="A32" s="5" t="s">
        <v>29</v>
      </c>
      <c r="B32" s="9">
        <v>-100</v>
      </c>
    </row>
    <row r="33" spans="1:2" x14ac:dyDescent="0.3">
      <c r="A33" s="12" t="s">
        <v>3</v>
      </c>
      <c r="B33" s="12">
        <f>B31+B32</f>
        <v>800.28</v>
      </c>
    </row>
    <row r="34" spans="1:2" x14ac:dyDescent="0.3">
      <c r="A34" s="12"/>
      <c r="B34" s="12"/>
    </row>
    <row r="35" spans="1:2" x14ac:dyDescent="0.3">
      <c r="A35" s="13" t="s">
        <v>30</v>
      </c>
      <c r="B35" s="14"/>
    </row>
    <row r="36" spans="1:2" hidden="1" x14ac:dyDescent="0.3">
      <c r="A36" t="s">
        <v>31</v>
      </c>
    </row>
    <row r="37" spans="1:2" hidden="1" x14ac:dyDescent="0.3">
      <c r="A37" t="s">
        <v>32</v>
      </c>
      <c r="B37" s="4">
        <v>0</v>
      </c>
    </row>
    <row r="38" spans="1:2" hidden="1" x14ac:dyDescent="0.3">
      <c r="A38" t="s">
        <v>33</v>
      </c>
      <c r="B38" s="4">
        <v>200.14</v>
      </c>
    </row>
    <row r="39" spans="1:2" hidden="1" x14ac:dyDescent="0.3">
      <c r="A39" t="s">
        <v>34</v>
      </c>
      <c r="B39" s="4">
        <v>0</v>
      </c>
    </row>
    <row r="40" spans="1:2" hidden="1" x14ac:dyDescent="0.3">
      <c r="A40" t="s">
        <v>35</v>
      </c>
      <c r="B40" s="4">
        <v>100.14</v>
      </c>
    </row>
    <row r="41" spans="1:2" hidden="1" x14ac:dyDescent="0.3">
      <c r="A41" t="s">
        <v>36</v>
      </c>
    </row>
    <row r="42" spans="1:2" hidden="1" x14ac:dyDescent="0.3">
      <c r="A42" t="s">
        <v>37</v>
      </c>
      <c r="B42" s="4">
        <v>600</v>
      </c>
    </row>
    <row r="43" spans="1:2" hidden="1" x14ac:dyDescent="0.3">
      <c r="A43" t="s">
        <v>38</v>
      </c>
      <c r="B43" s="7">
        <v>0</v>
      </c>
    </row>
    <row r="44" spans="1:2" hidden="1" x14ac:dyDescent="0.3">
      <c r="A44" t="s">
        <v>39</v>
      </c>
      <c r="B44" s="7">
        <v>0</v>
      </c>
    </row>
    <row r="45" spans="1:2" hidden="1" x14ac:dyDescent="0.3">
      <c r="A45" t="s">
        <v>40</v>
      </c>
      <c r="B45" s="7">
        <v>0</v>
      </c>
    </row>
    <row r="46" spans="1:2" hidden="1" x14ac:dyDescent="0.3">
      <c r="A46" t="s">
        <v>41</v>
      </c>
      <c r="B46" s="7">
        <v>0</v>
      </c>
    </row>
    <row r="47" spans="1:2" hidden="1" x14ac:dyDescent="0.3">
      <c r="A47" t="s">
        <v>42</v>
      </c>
      <c r="B47" s="7"/>
    </row>
    <row r="48" spans="1:2" hidden="1" x14ac:dyDescent="0.3">
      <c r="A48" t="s">
        <v>43</v>
      </c>
      <c r="B48" s="15">
        <f>SUM(B36:B47)</f>
        <v>900.28</v>
      </c>
    </row>
    <row r="49" spans="1:2" hidden="1" x14ac:dyDescent="0.3">
      <c r="A49" t="s">
        <v>44</v>
      </c>
      <c r="B49" s="7">
        <v>0</v>
      </c>
    </row>
    <row r="50" spans="1:2" hidden="1" x14ac:dyDescent="0.3">
      <c r="A50" t="s">
        <v>45</v>
      </c>
      <c r="B50" s="7">
        <v>0</v>
      </c>
    </row>
    <row r="51" spans="1:2" hidden="1" x14ac:dyDescent="0.3">
      <c r="A51" t="s">
        <v>46</v>
      </c>
      <c r="B51" s="7">
        <v>0</v>
      </c>
    </row>
    <row r="52" spans="1:2" hidden="1" x14ac:dyDescent="0.3">
      <c r="A52" t="s">
        <v>47</v>
      </c>
      <c r="B52" s="7">
        <v>0</v>
      </c>
    </row>
    <row r="53" spans="1:2" hidden="1" x14ac:dyDescent="0.3">
      <c r="A53" t="s">
        <v>48</v>
      </c>
      <c r="B53" s="7"/>
    </row>
    <row r="54" spans="1:2" hidden="1" x14ac:dyDescent="0.3">
      <c r="A54" t="s">
        <v>49</v>
      </c>
      <c r="B54" s="7"/>
    </row>
    <row r="55" spans="1:2" hidden="1" x14ac:dyDescent="0.3">
      <c r="A55" t="s">
        <v>50</v>
      </c>
      <c r="B55" s="7"/>
    </row>
    <row r="56" spans="1:2" hidden="1" x14ac:dyDescent="0.3">
      <c r="A56" t="s">
        <v>51</v>
      </c>
      <c r="B56" s="7"/>
    </row>
    <row r="57" spans="1:2" hidden="1" x14ac:dyDescent="0.3">
      <c r="A57" t="s">
        <v>52</v>
      </c>
      <c r="B57" s="7"/>
    </row>
    <row r="58" spans="1:2" hidden="1" x14ac:dyDescent="0.3">
      <c r="A58" t="s">
        <v>53</v>
      </c>
      <c r="B58" s="7"/>
    </row>
    <row r="59" spans="1:2" hidden="1" x14ac:dyDescent="0.3">
      <c r="A59" t="s">
        <v>54</v>
      </c>
      <c r="B59" s="7"/>
    </row>
    <row r="60" spans="1:2" hidden="1" x14ac:dyDescent="0.3">
      <c r="A60" t="s">
        <v>55</v>
      </c>
      <c r="B60" s="7"/>
    </row>
    <row r="61" spans="1:2" x14ac:dyDescent="0.3">
      <c r="A61" s="16" t="s">
        <v>56</v>
      </c>
      <c r="B61" s="15">
        <v>900.28</v>
      </c>
    </row>
    <row r="62" spans="1:2" x14ac:dyDescent="0.3">
      <c r="A62" t="s">
        <v>57</v>
      </c>
      <c r="B62" s="4">
        <v>0</v>
      </c>
    </row>
    <row r="63" spans="1:2" x14ac:dyDescent="0.3">
      <c r="A63" t="s">
        <v>58</v>
      </c>
      <c r="B63" s="4">
        <v>0</v>
      </c>
    </row>
    <row r="64" spans="1:2" x14ac:dyDescent="0.3">
      <c r="A64" t="s">
        <v>59</v>
      </c>
      <c r="B64" s="7">
        <v>0</v>
      </c>
    </row>
    <row r="65" spans="1:2" x14ac:dyDescent="0.3">
      <c r="A65" t="s">
        <v>60</v>
      </c>
      <c r="B65" s="17">
        <v>0</v>
      </c>
    </row>
    <row r="66" spans="1:2" x14ac:dyDescent="0.3">
      <c r="A66" t="s">
        <v>61</v>
      </c>
      <c r="B66" s="17">
        <v>0</v>
      </c>
    </row>
    <row r="67" spans="1:2" x14ac:dyDescent="0.3">
      <c r="A67" t="s">
        <v>62</v>
      </c>
      <c r="B67" s="17">
        <v>0</v>
      </c>
    </row>
    <row r="68" spans="1:2" x14ac:dyDescent="0.3">
      <c r="A68" t="s">
        <v>63</v>
      </c>
      <c r="B68" s="17">
        <v>0</v>
      </c>
    </row>
    <row r="69" spans="1:2" x14ac:dyDescent="0.3">
      <c r="A69" t="s">
        <v>64</v>
      </c>
      <c r="B69" s="17">
        <v>0</v>
      </c>
    </row>
    <row r="70" spans="1:2" x14ac:dyDescent="0.3">
      <c r="A70" t="s">
        <v>65</v>
      </c>
      <c r="B70" s="7">
        <v>0</v>
      </c>
    </row>
    <row r="71" spans="1:2" x14ac:dyDescent="0.3">
      <c r="A71" t="s">
        <v>66</v>
      </c>
      <c r="B71" s="7">
        <v>0</v>
      </c>
    </row>
    <row r="72" spans="1:2" x14ac:dyDescent="0.3">
      <c r="A72" t="s">
        <v>67</v>
      </c>
      <c r="B72" s="7">
        <v>0</v>
      </c>
    </row>
    <row r="73" spans="1:2" x14ac:dyDescent="0.3">
      <c r="A73" t="s">
        <v>68</v>
      </c>
      <c r="B73" s="7">
        <v>0</v>
      </c>
    </row>
    <row r="74" spans="1:2" x14ac:dyDescent="0.3">
      <c r="A74" s="10" t="s">
        <v>1</v>
      </c>
      <c r="B74" s="11">
        <f t="shared" ref="B74" si="4">B61+SUM(B62:B73)</f>
        <v>900.28</v>
      </c>
    </row>
    <row r="75" spans="1:2" x14ac:dyDescent="0.3">
      <c r="A75" s="5" t="s">
        <v>29</v>
      </c>
      <c r="B75" s="9">
        <v>-100</v>
      </c>
    </row>
    <row r="76" spans="1:2" x14ac:dyDescent="0.3">
      <c r="A76" s="12" t="s">
        <v>3</v>
      </c>
      <c r="B76" s="11">
        <f>B74+B75</f>
        <v>800.28</v>
      </c>
    </row>
    <row r="82" spans="1:6" s="1" customFormat="1" x14ac:dyDescent="0.3">
      <c r="A82" s="18" t="s">
        <v>69</v>
      </c>
      <c r="B82" s="19">
        <v>44927</v>
      </c>
      <c r="D82" s="36"/>
      <c r="F82" s="36"/>
    </row>
    <row r="83" spans="1:6" x14ac:dyDescent="0.3">
      <c r="A83" s="20" t="s">
        <v>70</v>
      </c>
      <c r="B83" s="21" t="e" cm="1">
        <f t="array" ref="B83">#REF!</f>
        <v>#REF!</v>
      </c>
    </row>
    <row r="85" spans="1:6" x14ac:dyDescent="0.3">
      <c r="A85" s="10" t="s">
        <v>71</v>
      </c>
    </row>
    <row r="87" spans="1:6" x14ac:dyDescent="0.3">
      <c r="A87" s="22" t="s">
        <v>1</v>
      </c>
      <c r="B87" s="21">
        <f>B27</f>
        <v>34541.240000000005</v>
      </c>
    </row>
    <row r="88" spans="1:6" x14ac:dyDescent="0.3">
      <c r="A88" t="s">
        <v>72</v>
      </c>
      <c r="B88" s="23">
        <f>'[1]Sheet1 (2)'!D585+'[1]Sheet1 (2)'!D555</f>
        <v>1000.05</v>
      </c>
    </row>
    <row r="89" spans="1:6" x14ac:dyDescent="0.3">
      <c r="A89" t="s">
        <v>73</v>
      </c>
      <c r="B89" s="23">
        <f>'[1]Sheet1 (2)'!D546+'[1]Sheet1 (2)'!D547</f>
        <v>2200.2399999999998</v>
      </c>
    </row>
    <row r="90" spans="1:6" x14ac:dyDescent="0.3">
      <c r="A90" t="s">
        <v>74</v>
      </c>
      <c r="B90" s="23">
        <f>'[1]Sheet1 (2)'!D594+'[1]Sheet1 (2)'!D199+'[1]Sheet1 (2)'!D200+'[1]Sheet1 (2)'!D201</f>
        <v>-150</v>
      </c>
    </row>
    <row r="91" spans="1:6" x14ac:dyDescent="0.3">
      <c r="A91" t="s">
        <v>75</v>
      </c>
      <c r="B91" s="23">
        <f>'[1]Sheet1 (2)'!D207+'[1]Sheet1 (2)'!D223+B167+B166</f>
        <v>-928.71</v>
      </c>
    </row>
    <row r="92" spans="1:6" x14ac:dyDescent="0.3">
      <c r="A92" t="s">
        <v>76</v>
      </c>
      <c r="B92" s="24">
        <v>-3700</v>
      </c>
    </row>
    <row r="93" spans="1:6" x14ac:dyDescent="0.3">
      <c r="A93" t="s">
        <v>77</v>
      </c>
      <c r="B93" s="23">
        <v>-6000</v>
      </c>
    </row>
    <row r="94" spans="1:6" x14ac:dyDescent="0.3">
      <c r="A94" t="s">
        <v>78</v>
      </c>
      <c r="B94" s="23">
        <v>-5000</v>
      </c>
    </row>
    <row r="95" spans="1:6" x14ac:dyDescent="0.3">
      <c r="A95" t="s">
        <v>76</v>
      </c>
      <c r="B95" s="23">
        <f>'[1]Sheet1 (2)'!D325</f>
        <v>-7500</v>
      </c>
    </row>
    <row r="96" spans="1:6" x14ac:dyDescent="0.3">
      <c r="A96" t="s">
        <v>79</v>
      </c>
      <c r="B96" s="23">
        <f>'[1]Sheet1 (2)'!D328+'[1]Sheet1 (2)'!G339</f>
        <v>-2000</v>
      </c>
    </row>
    <row r="97" spans="1:2" x14ac:dyDescent="0.3">
      <c r="A97" t="s">
        <v>80</v>
      </c>
      <c r="B97" s="23">
        <v>-2300</v>
      </c>
    </row>
    <row r="98" spans="1:2" x14ac:dyDescent="0.3">
      <c r="A98" t="s">
        <v>81</v>
      </c>
      <c r="B98" s="24">
        <f>'[1]Sheet1 (2)'!D155+'[1]Sheet1 (2)'!G164+'[1]Sheet1 (2)'!G173 +'[1]Sheet1 (2)'!G181+'[1]Sheet1 (2)'!G195+'[1]Sheet1 (2)'!D213+'[1]Sheet1 (2)'!D229 +'[1]Sheet1 (2)'!G250+'[1]Sheet1 (2)'!G273+'[1]Sheet1 (2)'!G287+'[1]Sheet1 (2)'!G305+'[1]Sheet1 (2)'!D321</f>
        <v>3811.1999999999994</v>
      </c>
    </row>
    <row r="99" spans="1:2" x14ac:dyDescent="0.3">
      <c r="A99" t="s">
        <v>82</v>
      </c>
      <c r="B99" s="23">
        <f>'[1]Sheet1 (2)'!G189+'[1]Sheet1 (2)'!D209+'[1]Sheet1 (2)'!D224 +'[1]Sheet1 (2)'!G240+'[1]Sheet1 (2)'!G264+'[1]Sheet1 (2)'!G282+'[1]Sheet1 (2)'!G296+'[1]Sheet1 (2)'!G307+'[1]Sheet1 (2)'!D334+'[1]Sheet1 (2)'!D354+[1]Saheed!C24</f>
        <v>6263.18</v>
      </c>
    </row>
    <row r="100" spans="1:2" x14ac:dyDescent="0.3">
      <c r="A100" t="s">
        <v>83</v>
      </c>
      <c r="B100" s="23">
        <f>'[1]Sheet1 (2)'!D249+'[1]Sheet1 (2)'!G275+'[1]Sheet1 (2)'!G293+'[1]Sheet1 (2)'!G306+'[1]Sheet1 (2)'!D333+'[1]Sheet1 (2)'!D347+'[1]Sheet1 (2)'!D365+'[1]Sheet1 (2)'!D385+'[1]Sheet1 (2)'!G403+'[1]Sheet1 (2)'!G416</f>
        <v>4341.3</v>
      </c>
    </row>
    <row r="101" spans="1:2" x14ac:dyDescent="0.3">
      <c r="A101" t="s">
        <v>84</v>
      </c>
      <c r="B101" s="23">
        <f>'[1]Sheet1 (2)'!D336+'[1]Sheet1 (2)'!D357+'[1]Sheet1 (2)'!D375+'[1]Sheet1 (2)'!G395+'[1]Sheet1 (2)'!G413</f>
        <v>2217.75</v>
      </c>
    </row>
    <row r="102" spans="1:2" x14ac:dyDescent="0.3">
      <c r="A102" t="s">
        <v>85</v>
      </c>
      <c r="B102" s="23">
        <f>'[1]Sheet1 (2)'!D340+'[1]Sheet1 (2)'!D366</f>
        <v>374</v>
      </c>
    </row>
    <row r="103" spans="1:2" x14ac:dyDescent="0.3">
      <c r="A103" t="s">
        <v>86</v>
      </c>
      <c r="B103" s="23">
        <v>50.06</v>
      </c>
    </row>
    <row r="104" spans="1:2" x14ac:dyDescent="0.3">
      <c r="A104" t="s">
        <v>87</v>
      </c>
      <c r="B104" s="23">
        <v>346.59000000000015</v>
      </c>
    </row>
    <row r="105" spans="1:2" x14ac:dyDescent="0.3">
      <c r="A105" t="s">
        <v>88</v>
      </c>
      <c r="B105" s="23">
        <v>-490</v>
      </c>
    </row>
    <row r="106" spans="1:2" x14ac:dyDescent="0.3">
      <c r="A106" t="s">
        <v>89</v>
      </c>
      <c r="B106" s="25">
        <f>'[1]Sheet1 (2)'!D324</f>
        <v>-7000</v>
      </c>
    </row>
    <row r="107" spans="1:2" x14ac:dyDescent="0.3">
      <c r="A107" s="10" t="s">
        <v>90</v>
      </c>
      <c r="B107" s="21">
        <f>SUM(B87:B106)</f>
        <v>20076.900000000005</v>
      </c>
    </row>
    <row r="108" spans="1:2" x14ac:dyDescent="0.3">
      <c r="B108" s="21">
        <v>16971.71</v>
      </c>
    </row>
    <row r="109" spans="1:2" x14ac:dyDescent="0.3">
      <c r="A109" s="22" t="s">
        <v>91</v>
      </c>
      <c r="B109" s="23"/>
    </row>
    <row r="110" spans="1:2" hidden="1" x14ac:dyDescent="0.3">
      <c r="A110" s="10"/>
      <c r="B110" s="21"/>
    </row>
    <row r="111" spans="1:2" x14ac:dyDescent="0.3">
      <c r="A111" t="s">
        <v>92</v>
      </c>
      <c r="B111" s="26">
        <f>16.96+15.58+14.2+12.81+11.41+10.01+'[1]Loan Details'!I8+'[1]Loan Details'!I9+'[1]Loan Details'!I10+'[1]Loan Details'!I11</f>
        <v>106.84</v>
      </c>
    </row>
    <row r="112" spans="1:2" x14ac:dyDescent="0.3">
      <c r="A112" t="s">
        <v>93</v>
      </c>
      <c r="B112" s="26">
        <f>40+36.79+'[1]Loan Details'!J28+'[1]Loan Details'!J29+'[1]Loan Details'!J30+'[1]Loan Details'!J31+'[1]Loan Details'!J32+'[1]Loan Details'!J33+'[1]Loan Details'!J34+'[1]Loan Details'!J35+'[1]Loan Details'!J36+'[1]Loan Details'!J37</f>
        <v>263.18</v>
      </c>
    </row>
    <row r="113" spans="1:6" x14ac:dyDescent="0.3">
      <c r="A113" t="s">
        <v>94</v>
      </c>
      <c r="B113" s="26">
        <f>'[1]Loan Details'!J45+'[1]Loan Details'!J46+'[1]Loan Details'!J47+'[1]Loan Details'!J48+'[1]Loan Details'!J49+'[1]Loan Details'!J50+'[1]Loan Details'!J51+'[1]Loan Details'!J52+'[1]Loan Details'!J53</f>
        <v>202.11</v>
      </c>
    </row>
    <row r="114" spans="1:6" x14ac:dyDescent="0.3">
      <c r="A114" t="s">
        <v>95</v>
      </c>
      <c r="B114" s="26">
        <f>'[1]Loan Details'!J62+'[1]Loan Details'!J63+'[1]Loan Details'!J64+'[1]Loan Details'!J65</f>
        <v>184.2</v>
      </c>
    </row>
    <row r="115" spans="1:6" x14ac:dyDescent="0.3">
      <c r="A115" t="s">
        <v>96</v>
      </c>
      <c r="B115" s="26">
        <f>'[1]Loan Details'!J86+'[1]Loan Details'!J87</f>
        <v>25.59</v>
      </c>
    </row>
    <row r="116" spans="1:6" x14ac:dyDescent="0.3">
      <c r="A116" t="s">
        <v>97</v>
      </c>
      <c r="B116" s="27" t="e">
        <f>#REF!-#REF!+124.15</f>
        <v>#REF!</v>
      </c>
    </row>
    <row r="117" spans="1:6" hidden="1" x14ac:dyDescent="0.3">
      <c r="A117" t="s">
        <v>97</v>
      </c>
      <c r="B117" s="28"/>
    </row>
    <row r="118" spans="1:6" x14ac:dyDescent="0.3">
      <c r="A118" s="10" t="s">
        <v>98</v>
      </c>
      <c r="B118" s="21" t="e">
        <f>SUM(B111:B116)</f>
        <v>#REF!</v>
      </c>
    </row>
    <row r="119" spans="1:6" hidden="1" x14ac:dyDescent="0.3"/>
    <row r="120" spans="1:6" hidden="1" x14ac:dyDescent="0.3"/>
    <row r="121" spans="1:6" hidden="1" x14ac:dyDescent="0.3"/>
    <row r="122" spans="1:6" hidden="1" x14ac:dyDescent="0.3"/>
    <row r="123" spans="1:6" hidden="1" x14ac:dyDescent="0.3"/>
    <row r="124" spans="1:6" hidden="1" x14ac:dyDescent="0.3"/>
    <row r="125" spans="1:6" hidden="1" x14ac:dyDescent="0.3"/>
    <row r="127" spans="1:6" s="4" customFormat="1" x14ac:dyDescent="0.3">
      <c r="A127" s="10" t="s">
        <v>1</v>
      </c>
      <c r="B127" s="11">
        <f>B27+B105</f>
        <v>34051.240000000005</v>
      </c>
      <c r="D127" s="23"/>
      <c r="F127" s="23"/>
    </row>
    <row r="128" spans="1:6" s="4" customFormat="1" x14ac:dyDescent="0.3">
      <c r="A128" t="s">
        <v>99</v>
      </c>
      <c r="B128" s="4" t="e">
        <f>B92+#REF!+B93+#REF!+B94+#REF!+B95+#REF!+B96+#REF!+50.06</f>
        <v>#REF!</v>
      </c>
      <c r="D128" s="23"/>
      <c r="F128" s="23"/>
    </row>
    <row r="129" spans="1:6" s="4" customFormat="1" x14ac:dyDescent="0.3">
      <c r="A129" t="s">
        <v>100</v>
      </c>
      <c r="B129" s="4">
        <v>-2300</v>
      </c>
      <c r="D129" s="23"/>
      <c r="F129" s="23"/>
    </row>
    <row r="130" spans="1:6" s="4" customFormat="1" x14ac:dyDescent="0.3">
      <c r="A130" t="s">
        <v>101</v>
      </c>
      <c r="B130" s="4">
        <f>B88+B89+B90+B91</f>
        <v>2121.58</v>
      </c>
      <c r="D130" s="23"/>
      <c r="F130" s="23"/>
    </row>
    <row r="131" spans="1:6" s="4" customFormat="1" x14ac:dyDescent="0.3">
      <c r="A131" t="s">
        <v>102</v>
      </c>
      <c r="B131" s="8" t="e">
        <f>B118</f>
        <v>#REF!</v>
      </c>
      <c r="D131" s="23"/>
      <c r="F131" s="23"/>
    </row>
    <row r="132" spans="1:6" s="4" customFormat="1" x14ac:dyDescent="0.3">
      <c r="A132" s="10" t="s">
        <v>103</v>
      </c>
      <c r="B132" s="11" t="e">
        <f>SUM(B127:B131)</f>
        <v>#REF!</v>
      </c>
      <c r="D132" s="23"/>
      <c r="F132" s="23"/>
    </row>
    <row r="133" spans="1:6" x14ac:dyDescent="0.3">
      <c r="A133" s="10" t="s">
        <v>104</v>
      </c>
      <c r="B133" s="11">
        <f>B107+B139</f>
        <v>27201.050000000003</v>
      </c>
    </row>
    <row r="134" spans="1:6" x14ac:dyDescent="0.3">
      <c r="B134" s="4" t="e">
        <f>B133-B132</f>
        <v>#REF!</v>
      </c>
    </row>
    <row r="135" spans="1:6" x14ac:dyDescent="0.3">
      <c r="A135" s="22" t="s">
        <v>105</v>
      </c>
      <c r="B135" s="23"/>
    </row>
    <row r="136" spans="1:6" x14ac:dyDescent="0.3">
      <c r="A136" s="10" t="s">
        <v>106</v>
      </c>
      <c r="B136" s="23"/>
    </row>
    <row r="137" spans="1:6" x14ac:dyDescent="0.3">
      <c r="A137" t="s">
        <v>99</v>
      </c>
      <c r="B137" s="23" t="e">
        <f>-B128</f>
        <v>#REF!</v>
      </c>
    </row>
    <row r="138" spans="1:6" x14ac:dyDescent="0.3">
      <c r="A138" t="s">
        <v>103</v>
      </c>
      <c r="B138" s="23">
        <f>B108</f>
        <v>16971.71</v>
      </c>
    </row>
    <row r="139" spans="1:6" x14ac:dyDescent="0.3">
      <c r="A139" t="s">
        <v>89</v>
      </c>
      <c r="B139" s="23">
        <v>7124.15</v>
      </c>
    </row>
    <row r="140" spans="1:6" x14ac:dyDescent="0.3">
      <c r="A140" t="s">
        <v>100</v>
      </c>
      <c r="B140" s="25">
        <v>2300</v>
      </c>
    </row>
    <row r="141" spans="1:6" x14ac:dyDescent="0.3">
      <c r="A141" s="10" t="s">
        <v>107</v>
      </c>
      <c r="B141" s="21" t="e">
        <f>SUM(B137:B140)</f>
        <v>#REF!</v>
      </c>
    </row>
    <row r="142" spans="1:6" x14ac:dyDescent="0.3">
      <c r="B142" s="23"/>
    </row>
    <row r="143" spans="1:6" x14ac:dyDescent="0.3">
      <c r="A143" s="10" t="s">
        <v>108</v>
      </c>
      <c r="B143" s="23"/>
    </row>
    <row r="144" spans="1:6" hidden="1" x14ac:dyDescent="0.3">
      <c r="A144" t="s">
        <v>109</v>
      </c>
      <c r="B144" s="23">
        <v>0</v>
      </c>
    </row>
    <row r="145" spans="1:2" x14ac:dyDescent="0.3">
      <c r="A145" t="s">
        <v>110</v>
      </c>
      <c r="B145" s="23" t="e">
        <f>#REF!+B105</f>
        <v>#REF!</v>
      </c>
    </row>
    <row r="146" spans="1:2" x14ac:dyDescent="0.3">
      <c r="A146" t="s">
        <v>111</v>
      </c>
      <c r="B146" s="25" t="e">
        <f>B156</f>
        <v>#REF!</v>
      </c>
    </row>
    <row r="147" spans="1:2" x14ac:dyDescent="0.3">
      <c r="A147" s="10" t="s">
        <v>112</v>
      </c>
      <c r="B147" s="21" t="e">
        <f>SUM(B144:B146)</f>
        <v>#REF!</v>
      </c>
    </row>
    <row r="148" spans="1:2" x14ac:dyDescent="0.3">
      <c r="B148" s="4" t="e">
        <f>B141-B147</f>
        <v>#REF!</v>
      </c>
    </row>
    <row r="150" spans="1:2" x14ac:dyDescent="0.3">
      <c r="A150" s="22" t="s">
        <v>113</v>
      </c>
    </row>
    <row r="151" spans="1:2" x14ac:dyDescent="0.3">
      <c r="A151" t="s">
        <v>114</v>
      </c>
      <c r="B151" s="23" t="e">
        <f>B118</f>
        <v>#REF!</v>
      </c>
    </row>
    <row r="152" spans="1:2" x14ac:dyDescent="0.3">
      <c r="A152" t="s">
        <v>2</v>
      </c>
      <c r="B152" s="25" t="e">
        <f>-#REF!</f>
        <v>#REF!</v>
      </c>
    </row>
    <row r="153" spans="1:2" x14ac:dyDescent="0.3">
      <c r="A153" s="10" t="s">
        <v>115</v>
      </c>
      <c r="B153" s="21" t="e">
        <f>SUM(B151:B152)</f>
        <v>#REF!</v>
      </c>
    </row>
    <row r="154" spans="1:2" x14ac:dyDescent="0.3">
      <c r="B154" s="23"/>
    </row>
    <row r="155" spans="1:2" x14ac:dyDescent="0.3">
      <c r="A155" s="10" t="s">
        <v>116</v>
      </c>
      <c r="B155" s="30">
        <f>B169</f>
        <v>-2045.67</v>
      </c>
    </row>
    <row r="156" spans="1:2" x14ac:dyDescent="0.3">
      <c r="A156" s="10" t="s">
        <v>117</v>
      </c>
      <c r="B156" s="21" t="e">
        <f>B153+B155</f>
        <v>#REF!</v>
      </c>
    </row>
    <row r="158" spans="1:2" x14ac:dyDescent="0.3">
      <c r="A158" s="22" t="s">
        <v>116</v>
      </c>
    </row>
    <row r="159" spans="1:2" x14ac:dyDescent="0.3">
      <c r="A159" t="s">
        <v>72</v>
      </c>
      <c r="B159" s="31">
        <v>-32</v>
      </c>
    </row>
    <row r="160" spans="1:2" x14ac:dyDescent="0.3">
      <c r="A160" t="s">
        <v>118</v>
      </c>
      <c r="B160" s="31">
        <v>-465</v>
      </c>
    </row>
    <row r="161" spans="1:2" x14ac:dyDescent="0.3">
      <c r="A161" t="s">
        <v>119</v>
      </c>
      <c r="B161" s="31">
        <v>-269.92</v>
      </c>
    </row>
    <row r="162" spans="1:2" x14ac:dyDescent="0.3">
      <c r="A162" t="s">
        <v>120</v>
      </c>
      <c r="B162" s="31">
        <f>'[1]Sheet1 (2)'!D199</f>
        <v>-220</v>
      </c>
    </row>
    <row r="163" spans="1:2" x14ac:dyDescent="0.3">
      <c r="A163" t="s">
        <v>121</v>
      </c>
      <c r="B163" s="31">
        <f>'[1]Sheet1 (2)'!D200</f>
        <v>-30.54</v>
      </c>
    </row>
    <row r="164" spans="1:2" x14ac:dyDescent="0.3">
      <c r="A164" t="s">
        <v>122</v>
      </c>
      <c r="B164" s="31">
        <v>-24</v>
      </c>
    </row>
    <row r="165" spans="1:2" x14ac:dyDescent="0.3">
      <c r="A165" t="s">
        <v>123</v>
      </c>
      <c r="B165" s="31">
        <f>'[1]Sheet1 (2)'!D201</f>
        <v>-99.5</v>
      </c>
    </row>
    <row r="166" spans="1:2" x14ac:dyDescent="0.3">
      <c r="A166" t="s">
        <v>124</v>
      </c>
      <c r="B166" s="31">
        <f>'[1]Sheet1 (2)'!D353</f>
        <v>-99.5</v>
      </c>
    </row>
    <row r="167" spans="1:2" x14ac:dyDescent="0.3">
      <c r="A167" t="s">
        <v>125</v>
      </c>
      <c r="B167" s="31">
        <f>'[1]Sheet1 (2)'!D247+'[1]Sheet1 (2)'!D248+'[1]Sheet1 (2)'!D254+'[1]Sheet1 (2)'!D255+'[1]Sheet1 (2)'!D258</f>
        <v>-649.33000000000004</v>
      </c>
    </row>
    <row r="168" spans="1:2" x14ac:dyDescent="0.3">
      <c r="A168" t="s">
        <v>126</v>
      </c>
      <c r="B168" s="32">
        <v>-155.88</v>
      </c>
    </row>
    <row r="169" spans="1:2" x14ac:dyDescent="0.3">
      <c r="A169" s="10" t="s">
        <v>127</v>
      </c>
      <c r="B169" s="11">
        <f>SUM(B159:B168)</f>
        <v>-2045.67</v>
      </c>
    </row>
    <row r="171" spans="1:2" x14ac:dyDescent="0.3">
      <c r="A171" s="22" t="s">
        <v>128</v>
      </c>
      <c r="B171" s="2" t="s">
        <v>129</v>
      </c>
    </row>
    <row r="172" spans="1:2" hidden="1" x14ac:dyDescent="0.3">
      <c r="A172" t="s">
        <v>130</v>
      </c>
      <c r="B172" s="33"/>
    </row>
    <row r="173" spans="1:2" x14ac:dyDescent="0.3">
      <c r="A173" t="s">
        <v>131</v>
      </c>
      <c r="B173" s="4">
        <v>0</v>
      </c>
    </row>
    <row r="174" spans="1:2" x14ac:dyDescent="0.3">
      <c r="A174" t="s">
        <v>132</v>
      </c>
      <c r="B174" s="4">
        <f>'[1]Loan Details'!J57-B113</f>
        <v>17.200000000000017</v>
      </c>
    </row>
    <row r="175" spans="1:2" x14ac:dyDescent="0.3">
      <c r="A175" t="s">
        <v>133</v>
      </c>
      <c r="B175" s="4">
        <f>'[1]Loan Details'!J81-'Account Statements 2024 F'!B114</f>
        <v>249.75</v>
      </c>
    </row>
    <row r="176" spans="1:2" x14ac:dyDescent="0.3">
      <c r="A176" t="s">
        <v>134</v>
      </c>
      <c r="B176" s="4">
        <f>'[1]Loan Details'!J98-'Account Statements 2024 F'!B115</f>
        <v>48.8</v>
      </c>
    </row>
    <row r="177" spans="1:2" hidden="1" x14ac:dyDescent="0.3"/>
    <row r="178" spans="1:2" x14ac:dyDescent="0.3">
      <c r="A178" t="s">
        <v>135</v>
      </c>
      <c r="B178" s="8"/>
    </row>
    <row r="179" spans="1:2" x14ac:dyDescent="0.3">
      <c r="A179" s="10" t="s">
        <v>136</v>
      </c>
      <c r="B179" s="11">
        <f>SUM(B172:B178)</f>
        <v>315.75000000000006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Statements 2024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2026-01-27T06:37:58Z</dcterms:created>
  <dcterms:modified xsi:type="dcterms:W3CDTF">2026-03-22T19:11:48Z</dcterms:modified>
</cp:coreProperties>
</file>