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nka\Documents\AssurCoop\Distributions\"/>
    </mc:Choice>
  </mc:AlternateContent>
  <xr:revisionPtr revIDLastSave="0" documentId="13_ncr:1_{FE947879-9295-41C5-B7B3-6481A3F35926}" xr6:coauthVersionLast="47" xr6:coauthVersionMax="47" xr10:uidLastSave="{00000000-0000-0000-0000-000000000000}"/>
  <bookViews>
    <workbookView xWindow="-108" yWindow="-108" windowWidth="23256" windowHeight="13896" xr2:uid="{9B861769-C4DA-4A42-B859-CF22DE3E6697}"/>
  </bookViews>
  <sheets>
    <sheet name="Feb 2026 Distrib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C14" i="1" s="1"/>
  <c r="D14" i="1" s="1"/>
  <c r="C16" i="1" l="1"/>
  <c r="D16" i="1" s="1"/>
  <c r="C23" i="1"/>
  <c r="D23" i="1" s="1"/>
  <c r="C21" i="1"/>
  <c r="D21" i="1" s="1"/>
  <c r="C15" i="1"/>
  <c r="D15" i="1" s="1"/>
  <c r="C17" i="1"/>
  <c r="D17" i="1" s="1"/>
  <c r="C10" i="1"/>
  <c r="D10" i="1" s="1"/>
  <c r="C13" i="1"/>
  <c r="D13" i="1" s="1"/>
  <c r="C12" i="1"/>
  <c r="D12" i="1" s="1"/>
  <c r="C7" i="1"/>
  <c r="D7" i="1" s="1"/>
  <c r="C24" i="1"/>
  <c r="D24" i="1" s="1"/>
  <c r="C6" i="1"/>
  <c r="D6" i="1" s="1"/>
  <c r="C3" i="1"/>
  <c r="D3" i="1" s="1"/>
  <c r="E26" i="1" s="1"/>
  <c r="C5" i="1"/>
  <c r="D5" i="1" s="1"/>
  <c r="C11" i="1"/>
  <c r="D11" i="1" s="1"/>
  <c r="C18" i="1"/>
  <c r="D18" i="1" s="1"/>
  <c r="C20" i="1"/>
  <c r="D20" i="1" s="1"/>
  <c r="C9" i="1"/>
  <c r="D9" i="1" s="1"/>
  <c r="C19" i="1"/>
  <c r="D19" i="1" s="1"/>
  <c r="C4" i="1"/>
  <c r="D4" i="1" s="1"/>
  <c r="C22" i="1"/>
  <c r="D22" i="1" s="1"/>
  <c r="C2" i="1"/>
  <c r="D2" i="1" s="1"/>
  <c r="C8" i="1"/>
  <c r="D8" i="1" s="1"/>
  <c r="D26" i="1" l="1"/>
</calcChain>
</file>

<file path=xl/sharedStrings.xml><?xml version="1.0" encoding="utf-8"?>
<sst xmlns="http://schemas.openxmlformats.org/spreadsheetml/2006/main" count="28" uniqueCount="28">
  <si>
    <t>Member Name</t>
  </si>
  <si>
    <t>Total Deposits</t>
  </si>
  <si>
    <t>Abraham Udom</t>
  </si>
  <si>
    <t>Adedayo Tolani</t>
  </si>
  <si>
    <t>Clement Aribisala</t>
  </si>
  <si>
    <t>Gbanju Aruwayo-Obe</t>
  </si>
  <si>
    <t>Kelvin Amede</t>
  </si>
  <si>
    <t>Lolu Adanri</t>
  </si>
  <si>
    <t>Mutiu Saliu</t>
  </si>
  <si>
    <t>Olugbenga Shofela</t>
  </si>
  <si>
    <t>Oluwabiyi Omotuyole</t>
  </si>
  <si>
    <t>Taiwo Embassey</t>
  </si>
  <si>
    <t>Yinka Daramola</t>
  </si>
  <si>
    <t>Yomi Salami</t>
  </si>
  <si>
    <t>Iyioluwa Olaoye</t>
  </si>
  <si>
    <t>Oladimeji Eboda</t>
  </si>
  <si>
    <t>Akili Tcha Bindi</t>
  </si>
  <si>
    <t>Ejiro Awhotu</t>
  </si>
  <si>
    <t>Noghayin Idele</t>
  </si>
  <si>
    <t>Idris Anaisah</t>
  </si>
  <si>
    <t>Oluwatosin Ogunbowale</t>
  </si>
  <si>
    <t>Titilope Saliu</t>
  </si>
  <si>
    <t>Oluwatosin Omotuyole</t>
  </si>
  <si>
    <t>Kehinde Agboola</t>
  </si>
  <si>
    <t>Olawale George</t>
  </si>
  <si>
    <t>Total</t>
  </si>
  <si>
    <t>% of Total</t>
  </si>
  <si>
    <t>Interest 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</si>
</sst>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0" fontId="0" fillId="2" borderId="0" xfId="0" applyFill="1"/>
    <xf numFmtId="43" fontId="0" fillId="0" borderId="0" xfId="1" applyFont="1" applyBorder="1"/>
    <xf numFmtId="43" fontId="0" fillId="0" borderId="1" xfId="1" applyFont="1" applyBorder="1"/>
    <xf numFmtId="0" fontId="2" fillId="0" borderId="0" xfId="0" applyFont="1"/>
    <xf numFmtId="43" fontId="2" fillId="0" borderId="0" xfId="1" applyFont="1"/>
    <xf numFmtId="44" fontId="2" fillId="0" borderId="0" xfId="2" applyFont="1"/>
    <xf numFmtId="44" fontId="0" fillId="0" borderId="0" xfId="2" applyFont="1"/>
    <xf numFmtId="44" fontId="0" fillId="0" borderId="0" xfId="0" applyNumberFormat="1"/>
    <xf numFmtId="10" fontId="0" fillId="0" borderId="0" xfId="3" applyNumberFormat="1" applyFont="1"/>
    <xf numFmtId="44" fontId="2" fillId="0" borderId="0" xfId="2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1FC2-7B0F-4CE9-A911-6D52FFE7C4B5}">
  <dimension ref="A1:E28"/>
  <sheetViews>
    <sheetView tabSelected="1" topLeftCell="A3" zoomScale="128" workbookViewId="0">
      <pane xSplit="1" topLeftCell="B1" activePane="topRight" state="frozen"/>
      <selection pane="topRight" activeCell="B25" sqref="B25"/>
    </sheetView>
  </sheetViews>
  <sheetFormatPr defaultRowHeight="14.4" x14ac:dyDescent="0.3"/>
  <cols>
    <col min="1" max="1" width="51.21875" bestFit="1" customWidth="1"/>
    <col min="2" max="2" width="14.6640625" style="4" bestFit="1" customWidth="1"/>
    <col min="4" max="4" width="13.88671875" style="11" bestFit="1" customWidth="1"/>
    <col min="5" max="5" width="10.33203125" bestFit="1" customWidth="1"/>
  </cols>
  <sheetData>
    <row r="1" spans="1:5" s="3" customFormat="1" x14ac:dyDescent="0.3">
      <c r="A1" s="1" t="s">
        <v>0</v>
      </c>
      <c r="B1" s="2" t="s">
        <v>1</v>
      </c>
      <c r="C1" s="1" t="s">
        <v>26</v>
      </c>
      <c r="D1" s="14" t="s">
        <v>27</v>
      </c>
    </row>
    <row r="2" spans="1:5" x14ac:dyDescent="0.3">
      <c r="A2" t="s">
        <v>2</v>
      </c>
      <c r="B2" s="4">
        <v>800.28</v>
      </c>
      <c r="C2" s="13">
        <f>B2/$B$26</f>
        <v>2.3288189452977226E-2</v>
      </c>
      <c r="D2" s="11">
        <f>C2*$E$2</f>
        <v>29.172183400166453</v>
      </c>
      <c r="E2" s="12">
        <v>1252.6600000000001</v>
      </c>
    </row>
    <row r="3" spans="1:5" x14ac:dyDescent="0.3">
      <c r="A3" s="5" t="s">
        <v>3</v>
      </c>
      <c r="B3" s="4">
        <v>3603.0600000000018</v>
      </c>
      <c r="C3" s="13">
        <f>B3/$B$26</f>
        <v>0.10484923263163415</v>
      </c>
      <c r="D3" s="11">
        <f t="shared" ref="D3:D24" si="0">C3*$E$2</f>
        <v>131.34043974834285</v>
      </c>
      <c r="E3" s="13"/>
    </row>
    <row r="4" spans="1:5" x14ac:dyDescent="0.3">
      <c r="A4" s="5" t="s">
        <v>4</v>
      </c>
      <c r="B4" s="4">
        <v>2400.7199999999998</v>
      </c>
      <c r="C4" s="13">
        <f>B4/$B$26</f>
        <v>6.9861076352715906E-2</v>
      </c>
      <c r="D4" s="11">
        <f t="shared" si="0"/>
        <v>87.512175903993111</v>
      </c>
      <c r="E4" s="13"/>
    </row>
    <row r="5" spans="1:5" x14ac:dyDescent="0.3">
      <c r="A5" s="5" t="s">
        <v>5</v>
      </c>
      <c r="B5" s="4">
        <v>2421.1399999999994</v>
      </c>
      <c r="C5" s="13">
        <f>B5/$B$26</f>
        <v>7.0455299410432937E-2</v>
      </c>
      <c r="D5" s="11">
        <f t="shared" si="0"/>
        <v>88.256535359472934</v>
      </c>
      <c r="E5" s="13"/>
    </row>
    <row r="6" spans="1:5" x14ac:dyDescent="0.3">
      <c r="A6" s="5" t="s">
        <v>6</v>
      </c>
      <c r="B6" s="4">
        <v>3300.06</v>
      </c>
      <c r="C6" s="13">
        <f>B6/$B$26</f>
        <v>9.6031916936812151E-2</v>
      </c>
      <c r="D6" s="11">
        <f t="shared" si="0"/>
        <v>120.29534107006711</v>
      </c>
      <c r="E6" s="13"/>
    </row>
    <row r="7" spans="1:5" x14ac:dyDescent="0.3">
      <c r="A7" t="s">
        <v>7</v>
      </c>
      <c r="B7" s="4">
        <v>2056.04</v>
      </c>
      <c r="C7" s="13">
        <f>B7/$B$26</f>
        <v>5.9830870498949494E-2</v>
      </c>
      <c r="D7" s="11">
        <f t="shared" si="0"/>
        <v>74.947738239214075</v>
      </c>
      <c r="E7" s="13"/>
    </row>
    <row r="8" spans="1:5" x14ac:dyDescent="0.3">
      <c r="A8" t="s">
        <v>8</v>
      </c>
      <c r="B8" s="4">
        <v>2100.7599999999998</v>
      </c>
      <c r="C8" s="13">
        <f>B8/$B$26</f>
        <v>6.1132224815360167E-2</v>
      </c>
      <c r="D8" s="11">
        <f t="shared" si="0"/>
        <v>76.577892737209069</v>
      </c>
      <c r="E8" s="13"/>
    </row>
    <row r="9" spans="1:5" x14ac:dyDescent="0.3">
      <c r="A9" t="s">
        <v>9</v>
      </c>
      <c r="B9" s="4">
        <v>100</v>
      </c>
      <c r="C9" s="13">
        <f>B9/$B$26</f>
        <v>2.9100051798092203E-3</v>
      </c>
      <c r="D9" s="11">
        <f t="shared" si="0"/>
        <v>3.645247088539818</v>
      </c>
      <c r="E9" s="13"/>
    </row>
    <row r="10" spans="1:5" x14ac:dyDescent="0.3">
      <c r="A10" s="5" t="s">
        <v>10</v>
      </c>
      <c r="B10" s="4">
        <v>3504.6800000000026</v>
      </c>
      <c r="C10" s="13">
        <f>B10/$B$26</f>
        <v>0.10198636953573785</v>
      </c>
      <c r="D10" s="11">
        <f t="shared" si="0"/>
        <v>127.75424566263739</v>
      </c>
      <c r="E10" s="13"/>
    </row>
    <row r="11" spans="1:5" x14ac:dyDescent="0.3">
      <c r="A11" t="s">
        <v>11</v>
      </c>
      <c r="B11" s="4">
        <v>408</v>
      </c>
      <c r="C11" s="13">
        <f>B11/$B$26</f>
        <v>1.1872821133621619E-2</v>
      </c>
      <c r="D11" s="11">
        <f t="shared" si="0"/>
        <v>14.872608121242459</v>
      </c>
      <c r="E11" s="13"/>
    </row>
    <row r="12" spans="1:5" x14ac:dyDescent="0.3">
      <c r="A12" s="5" t="s">
        <v>12</v>
      </c>
      <c r="B12" s="4">
        <v>2152.4499999999994</v>
      </c>
      <c r="C12" s="13">
        <f>B12/$B$26</f>
        <v>6.263640649280354E-2</v>
      </c>
      <c r="D12" s="11">
        <f t="shared" si="0"/>
        <v>78.462120957275289</v>
      </c>
      <c r="E12" s="13"/>
    </row>
    <row r="13" spans="1:5" x14ac:dyDescent="0.3">
      <c r="A13" s="5" t="s">
        <v>13</v>
      </c>
      <c r="B13" s="4">
        <v>4397.0200000000004</v>
      </c>
      <c r="C13" s="13">
        <f>B13/$B$26</f>
        <v>0.1279535097572474</v>
      </c>
      <c r="D13" s="11">
        <f t="shared" si="0"/>
        <v>160.28224353251355</v>
      </c>
    </row>
    <row r="14" spans="1:5" x14ac:dyDescent="0.3">
      <c r="A14" t="s">
        <v>14</v>
      </c>
      <c r="B14" s="4">
        <v>400.18</v>
      </c>
      <c r="C14" s="13">
        <f>B14/$B$26</f>
        <v>1.1645258728560539E-2</v>
      </c>
      <c r="D14" s="11">
        <f t="shared" si="0"/>
        <v>14.587549798918646</v>
      </c>
    </row>
    <row r="15" spans="1:5" x14ac:dyDescent="0.3">
      <c r="A15" t="s">
        <v>15</v>
      </c>
      <c r="B15" s="4">
        <v>100.1</v>
      </c>
      <c r="C15" s="13">
        <f>B15/$B$26</f>
        <v>2.9129151849890292E-3</v>
      </c>
      <c r="D15" s="11">
        <f t="shared" si="0"/>
        <v>3.6488923356283576</v>
      </c>
    </row>
    <row r="16" spans="1:5" x14ac:dyDescent="0.3">
      <c r="A16" t="s">
        <v>16</v>
      </c>
      <c r="B16" s="6">
        <v>250</v>
      </c>
      <c r="C16" s="13">
        <f>B16/$B$26</f>
        <v>7.2750129495230504E-3</v>
      </c>
      <c r="D16" s="11">
        <f t="shared" si="0"/>
        <v>9.1131177213495445</v>
      </c>
    </row>
    <row r="17" spans="1:5" x14ac:dyDescent="0.3">
      <c r="A17" t="s">
        <v>17</v>
      </c>
      <c r="B17" s="4">
        <v>2617.5000000000005</v>
      </c>
      <c r="C17" s="13">
        <f>B17/$B$26</f>
        <v>7.6169385581506349E-2</v>
      </c>
      <c r="D17" s="11">
        <f t="shared" si="0"/>
        <v>95.414342542529752</v>
      </c>
    </row>
    <row r="18" spans="1:5" x14ac:dyDescent="0.3">
      <c r="A18" t="s">
        <v>18</v>
      </c>
      <c r="B18" s="4">
        <v>702.20999999999992</v>
      </c>
      <c r="C18" s="13">
        <f>B18/$B$26</f>
        <v>2.0434347373138324E-2</v>
      </c>
      <c r="D18" s="11">
        <f t="shared" si="0"/>
        <v>25.597289580435454</v>
      </c>
    </row>
    <row r="19" spans="1:5" x14ac:dyDescent="0.3">
      <c r="A19" t="s">
        <v>19</v>
      </c>
      <c r="B19" s="4">
        <v>550</v>
      </c>
      <c r="C19" s="13">
        <f>B19/$B$26</f>
        <v>1.6005028488950711E-2</v>
      </c>
      <c r="D19" s="11">
        <f t="shared" si="0"/>
        <v>20.048858986968998</v>
      </c>
    </row>
    <row r="20" spans="1:5" x14ac:dyDescent="0.3">
      <c r="A20" t="s">
        <v>20</v>
      </c>
      <c r="B20" s="4">
        <v>700</v>
      </c>
      <c r="C20" s="13">
        <f>B20/$B$26</f>
        <v>2.0370036258664542E-2</v>
      </c>
      <c r="D20" s="11">
        <f t="shared" si="0"/>
        <v>25.516729619778726</v>
      </c>
    </row>
    <row r="21" spans="1:5" x14ac:dyDescent="0.3">
      <c r="A21" t="s">
        <v>21</v>
      </c>
      <c r="B21" s="4">
        <v>500</v>
      </c>
      <c r="C21" s="13">
        <f>B21/$B$26</f>
        <v>1.4550025899046101E-2</v>
      </c>
      <c r="D21" s="11">
        <f t="shared" si="0"/>
        <v>18.226235442699089</v>
      </c>
    </row>
    <row r="22" spans="1:5" x14ac:dyDescent="0.3">
      <c r="A22" t="s">
        <v>22</v>
      </c>
      <c r="B22" s="6">
        <v>700</v>
      </c>
      <c r="C22" s="13">
        <f>B22/$B$26</f>
        <v>2.0370036258664542E-2</v>
      </c>
      <c r="D22" s="11">
        <f t="shared" si="0"/>
        <v>25.516729619778726</v>
      </c>
    </row>
    <row r="23" spans="1:5" x14ac:dyDescent="0.3">
      <c r="A23" t="s">
        <v>23</v>
      </c>
      <c r="B23" s="6">
        <v>50</v>
      </c>
      <c r="C23" s="13">
        <f>B23/$B$26</f>
        <v>1.4550025899046101E-3</v>
      </c>
      <c r="D23" s="11">
        <f t="shared" si="0"/>
        <v>1.822623544269909</v>
      </c>
    </row>
    <row r="24" spans="1:5" x14ac:dyDescent="0.3">
      <c r="A24" t="s">
        <v>24</v>
      </c>
      <c r="B24" s="6">
        <v>550</v>
      </c>
      <c r="C24" s="13">
        <f>B24/$B$26</f>
        <v>1.6005028488950711E-2</v>
      </c>
      <c r="D24" s="11">
        <f t="shared" si="0"/>
        <v>20.048858986968998</v>
      </c>
    </row>
    <row r="25" spans="1:5" x14ac:dyDescent="0.3">
      <c r="B25" s="7"/>
    </row>
    <row r="26" spans="1:5" x14ac:dyDescent="0.3">
      <c r="A26" s="8" t="s">
        <v>25</v>
      </c>
      <c r="B26" s="9">
        <f>SUM(B2:B25)</f>
        <v>34364.199999999997</v>
      </c>
      <c r="D26" s="10">
        <f t="shared" ref="D26:E26" si="1">SUM(D2:D25)</f>
        <v>1252.6600000000003</v>
      </c>
      <c r="E26" s="9">
        <f t="shared" si="1"/>
        <v>1252.6600000000001</v>
      </c>
    </row>
    <row r="28" spans="1:5" x14ac:dyDescent="0.3">
      <c r="B2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 2026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Yinka Daramola</dc:creator>
  <cp:lastModifiedBy>Yinka Daramola</cp:lastModifiedBy>
  <dcterms:created xsi:type="dcterms:W3CDTF">2026-01-27T06:37:58Z</dcterms:created>
  <dcterms:modified xsi:type="dcterms:W3CDTF">2026-03-23T17:05:08Z</dcterms:modified>
</cp:coreProperties>
</file>